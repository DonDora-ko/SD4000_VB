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70" yWindow="15" windowWidth="20115" windowHeight="7875"/>
  </bookViews>
  <sheets>
    <sheet name="Template 5nm" sheetId="5" r:id="rId1"/>
  </sheets>
  <calcPr calcId="145621"/>
</workbook>
</file>

<file path=xl/calcChain.xml><?xml version="1.0" encoding="utf-8"?>
<calcChain xmlns="http://schemas.openxmlformats.org/spreadsheetml/2006/main">
  <c r="O95" i="5" l="1"/>
  <c r="O98" i="5" s="1"/>
  <c r="O94" i="5"/>
  <c r="O97" i="5" s="1"/>
  <c r="O93" i="5"/>
  <c r="N95" i="5"/>
  <c r="N98" i="5" s="1"/>
  <c r="N94" i="5"/>
  <c r="N97" i="5" s="1"/>
  <c r="N93" i="5"/>
  <c r="N96" i="5" s="1"/>
  <c r="M95" i="5"/>
  <c r="M98" i="5" s="1"/>
  <c r="M94" i="5"/>
  <c r="M97" i="5" s="1"/>
  <c r="M102" i="5" s="1"/>
  <c r="M93" i="5"/>
  <c r="M106" i="5" s="1"/>
  <c r="M109" i="5" s="1"/>
  <c r="L95" i="5"/>
  <c r="L94" i="5"/>
  <c r="L97" i="5" s="1"/>
  <c r="L93" i="5"/>
  <c r="L96" i="5" s="1"/>
  <c r="K95" i="5"/>
  <c r="K98" i="5" s="1"/>
  <c r="K94" i="5"/>
  <c r="K97" i="5" s="1"/>
  <c r="K102" i="5" s="1"/>
  <c r="K93" i="5"/>
  <c r="J95" i="5"/>
  <c r="J98" i="5" s="1"/>
  <c r="J94" i="5"/>
  <c r="J97" i="5" s="1"/>
  <c r="J93" i="5"/>
  <c r="J96" i="5" s="1"/>
  <c r="I95" i="5"/>
  <c r="I98" i="5" s="1"/>
  <c r="I94" i="5"/>
  <c r="I97" i="5" s="1"/>
  <c r="I102" i="5" s="1"/>
  <c r="I93" i="5"/>
  <c r="H95" i="5"/>
  <c r="H98" i="5" s="1"/>
  <c r="H94" i="5"/>
  <c r="H97" i="5" s="1"/>
  <c r="H93" i="5"/>
  <c r="H96" i="5" s="1"/>
  <c r="G95" i="5"/>
  <c r="G98" i="5" s="1"/>
  <c r="G94" i="5"/>
  <c r="G97" i="5" s="1"/>
  <c r="G102" i="5" s="1"/>
  <c r="G93" i="5"/>
  <c r="F95" i="5"/>
  <c r="F98" i="5" s="1"/>
  <c r="F94" i="5"/>
  <c r="F97" i="5" s="1"/>
  <c r="F102" i="5" s="1"/>
  <c r="F93" i="5"/>
  <c r="F96" i="5" s="1"/>
  <c r="O106" i="5" l="1"/>
  <c r="O109" i="5" s="1"/>
  <c r="N100" i="5"/>
  <c r="K106" i="5"/>
  <c r="K109" i="5" s="1"/>
  <c r="L100" i="5"/>
  <c r="J102" i="5"/>
  <c r="J99" i="5"/>
  <c r="H102" i="5"/>
  <c r="H99" i="5"/>
  <c r="F100" i="5"/>
  <c r="F99" i="5"/>
  <c r="G106" i="5"/>
  <c r="G109" i="5" s="1"/>
  <c r="H100" i="5"/>
  <c r="L107" i="5"/>
  <c r="L110" i="5" s="1"/>
  <c r="I106" i="5"/>
  <c r="I109" i="5" s="1"/>
  <c r="J100" i="5"/>
  <c r="J103" i="5" s="1"/>
  <c r="O102" i="5"/>
  <c r="O101" i="5"/>
  <c r="O99" i="5"/>
  <c r="N99" i="5"/>
  <c r="N102" i="5"/>
  <c r="N101" i="5"/>
  <c r="L99" i="5"/>
  <c r="L102" i="5"/>
  <c r="F107" i="5"/>
  <c r="F110" i="5" s="1"/>
  <c r="G99" i="5"/>
  <c r="G107" i="5"/>
  <c r="G110" i="5" s="1"/>
  <c r="I99" i="5"/>
  <c r="I107" i="5"/>
  <c r="I110" i="5" s="1"/>
  <c r="J101" i="5"/>
  <c r="J105" i="5"/>
  <c r="J108" i="5" s="1"/>
  <c r="K99" i="5"/>
  <c r="K107" i="5"/>
  <c r="K110" i="5" s="1"/>
  <c r="L105" i="5"/>
  <c r="L108" i="5" s="1"/>
  <c r="M99" i="5"/>
  <c r="M107" i="5"/>
  <c r="M110" i="5" s="1"/>
  <c r="N105" i="5"/>
  <c r="N108" i="5" s="1"/>
  <c r="O107" i="5"/>
  <c r="O110" i="5" s="1"/>
  <c r="F101" i="5"/>
  <c r="F105" i="5"/>
  <c r="F108" i="5" s="1"/>
  <c r="H101" i="5"/>
  <c r="H103" i="5" s="1"/>
  <c r="H105" i="5"/>
  <c r="H108" i="5" s="1"/>
  <c r="F106" i="5"/>
  <c r="F109" i="5" s="1"/>
  <c r="G96" i="5"/>
  <c r="G100" i="5" s="1"/>
  <c r="H106" i="5"/>
  <c r="H109" i="5" s="1"/>
  <c r="I96" i="5"/>
  <c r="I100" i="5" s="1"/>
  <c r="J106" i="5"/>
  <c r="J109" i="5" s="1"/>
  <c r="K96" i="5"/>
  <c r="K100" i="5" s="1"/>
  <c r="L98" i="5"/>
  <c r="L101" i="5" s="1"/>
  <c r="L104" i="5" s="1"/>
  <c r="L106" i="5"/>
  <c r="L109" i="5" s="1"/>
  <c r="M96" i="5"/>
  <c r="M100" i="5" s="1"/>
  <c r="N106" i="5"/>
  <c r="N109" i="5" s="1"/>
  <c r="O96" i="5"/>
  <c r="O100" i="5" s="1"/>
  <c r="G101" i="5"/>
  <c r="G105" i="5"/>
  <c r="G108" i="5" s="1"/>
  <c r="I101" i="5"/>
  <c r="I105" i="5"/>
  <c r="I108" i="5" s="1"/>
  <c r="K101" i="5"/>
  <c r="K105" i="5"/>
  <c r="K108" i="5" s="1"/>
  <c r="M101" i="5"/>
  <c r="M105" i="5"/>
  <c r="M108" i="5" s="1"/>
  <c r="N107" i="5"/>
  <c r="N110" i="5" s="1"/>
  <c r="O105" i="5"/>
  <c r="O108" i="5" s="1"/>
  <c r="H107" i="5"/>
  <c r="H110" i="5" s="1"/>
  <c r="J107" i="5"/>
  <c r="J110" i="5" s="1"/>
  <c r="E95" i="5"/>
  <c r="E98" i="5" s="1"/>
  <c r="E94" i="5"/>
  <c r="E97" i="5" s="1"/>
  <c r="E93" i="5"/>
  <c r="E96" i="5" s="1"/>
  <c r="N104" i="5" l="1"/>
  <c r="J104" i="5"/>
  <c r="F104" i="5"/>
  <c r="O104" i="5"/>
  <c r="O103" i="5"/>
  <c r="H104" i="5"/>
  <c r="F103" i="5"/>
  <c r="K104" i="5"/>
  <c r="K103" i="5"/>
  <c r="G104" i="5"/>
  <c r="G103" i="5"/>
  <c r="L103" i="5"/>
  <c r="M104" i="5"/>
  <c r="M103" i="5"/>
  <c r="N103" i="5"/>
  <c r="I104" i="5"/>
  <c r="I103" i="5"/>
  <c r="E101" i="5"/>
  <c r="E100" i="5"/>
  <c r="E99" i="5"/>
  <c r="E105" i="5"/>
  <c r="E108" i="5" s="1"/>
  <c r="E102" i="5"/>
  <c r="E107" i="5"/>
  <c r="E110" i="5" s="1"/>
  <c r="E106" i="5"/>
  <c r="E109" i="5" s="1"/>
  <c r="E104" i="5" l="1"/>
  <c r="E103" i="5"/>
</calcChain>
</file>

<file path=xl/sharedStrings.xml><?xml version="1.0" encoding="utf-8"?>
<sst xmlns="http://schemas.openxmlformats.org/spreadsheetml/2006/main" count="63" uniqueCount="32">
  <si>
    <t>%T</t>
  </si>
  <si>
    <t>L</t>
  </si>
  <si>
    <t>a</t>
  </si>
  <si>
    <t>b</t>
  </si>
  <si>
    <t>H</t>
  </si>
  <si>
    <t>C</t>
  </si>
  <si>
    <t>X</t>
  </si>
  <si>
    <t>Y</t>
  </si>
  <si>
    <t>Z</t>
  </si>
  <si>
    <t>R</t>
  </si>
  <si>
    <t>G</t>
  </si>
  <si>
    <t>B</t>
  </si>
  <si>
    <t>( COLOR )</t>
  </si>
  <si>
    <t xml:space="preserve">Xi </t>
  </si>
  <si>
    <t>Yi</t>
  </si>
  <si>
    <t>Zi</t>
  </si>
  <si>
    <t>f(X)</t>
  </si>
  <si>
    <t>f(Y)</t>
  </si>
  <si>
    <t>f(Z)</t>
  </si>
  <si>
    <t>RV</t>
  </si>
  <si>
    <t>GV</t>
  </si>
  <si>
    <t>BV</t>
  </si>
  <si>
    <t>RGB Space</t>
  </si>
  <si>
    <t>CIE LCH</t>
  </si>
  <si>
    <t>CIE Lab</t>
  </si>
  <si>
    <t>CIE XYZ</t>
  </si>
  <si>
    <t>COLOR</t>
  </si>
  <si>
    <t>Wavelength</t>
  </si>
  <si>
    <t>XYZ Matrix</t>
  </si>
  <si>
    <t>Sample</t>
  </si>
  <si>
    <t>Has the sample's spectrum been measured from 380nm to 780nm?</t>
  </si>
  <si>
    <t>Press the next buttons according to the experimental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</si>
</sst>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4">
    <xf numFmtId="0" fontId="0" fillId="0" borderId="0" xfId="0"/>
    <xf numFmtId="1" fontId="0" fillId="0" borderId="0" xfId="0" applyNumberFormat="1"/>
    <xf numFmtId="0" fontId="0" fillId="0" borderId="0" xfId="0" applyFill="1"/>
    <xf numFmtId="1" fontId="16" fillId="34" borderId="18" xfId="0" applyNumberFormat="1" applyFont="1" applyFill="1" applyBorder="1"/>
    <xf numFmtId="0" fontId="16" fillId="34" borderId="11" xfId="0" applyFont="1" applyFill="1" applyBorder="1" applyAlignment="1">
      <alignment horizontal="center"/>
    </xf>
    <xf numFmtId="0" fontId="16" fillId="34" borderId="12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164" fontId="16" fillId="34" borderId="20" xfId="0" applyNumberFormat="1" applyFont="1" applyFill="1" applyBorder="1"/>
    <xf numFmtId="164" fontId="16" fillId="34" borderId="15" xfId="0" applyNumberFormat="1" applyFont="1" applyFill="1" applyBorder="1" applyAlignment="1">
      <alignment horizontal="center"/>
    </xf>
    <xf numFmtId="164" fontId="16" fillId="34" borderId="16" xfId="0" applyNumberFormat="1" applyFont="1" applyFill="1" applyBorder="1" applyAlignment="1">
      <alignment horizontal="center"/>
    </xf>
    <xf numFmtId="164" fontId="16" fillId="34" borderId="17" xfId="0" applyNumberFormat="1" applyFont="1" applyFill="1" applyBorder="1" applyAlignment="1">
      <alignment horizontal="center"/>
    </xf>
    <xf numFmtId="1" fontId="16" fillId="34" borderId="19" xfId="0" applyNumberFormat="1" applyFont="1" applyFill="1" applyBorder="1"/>
    <xf numFmtId="1" fontId="16" fillId="34" borderId="21" xfId="0" applyNumberFormat="1" applyFont="1" applyFill="1" applyBorder="1"/>
    <xf numFmtId="1" fontId="16" fillId="34" borderId="20" xfId="0" applyNumberFormat="1" applyFont="1" applyFill="1" applyBorder="1"/>
    <xf numFmtId="1" fontId="16" fillId="34" borderId="18" xfId="0" applyNumberFormat="1" applyFont="1" applyFill="1" applyBorder="1" applyAlignment="1">
      <alignment horizontal="center"/>
    </xf>
    <xf numFmtId="1" fontId="16" fillId="34" borderId="19" xfId="0" applyNumberFormat="1" applyFont="1" applyFill="1" applyBorder="1" applyAlignment="1">
      <alignment horizontal="center"/>
    </xf>
    <xf numFmtId="1" fontId="16" fillId="34" borderId="20" xfId="0" applyNumberFormat="1" applyFont="1" applyFill="1" applyBorder="1" applyAlignment="1">
      <alignment horizontal="center"/>
    </xf>
    <xf numFmtId="164" fontId="0" fillId="35" borderId="14" xfId="0" applyNumberFormat="1" applyFill="1" applyBorder="1"/>
    <xf numFmtId="164" fontId="0" fillId="35" borderId="0" xfId="0" applyNumberFormat="1" applyFill="1" applyBorder="1"/>
    <xf numFmtId="164" fontId="0" fillId="35" borderId="22" xfId="0" applyNumberFormat="1" applyFill="1" applyBorder="1"/>
    <xf numFmtId="164" fontId="0" fillId="35" borderId="23" xfId="0" applyNumberFormat="1" applyFill="1" applyBorder="1"/>
    <xf numFmtId="164" fontId="0" fillId="35" borderId="15" xfId="0" applyNumberFormat="1" applyFill="1" applyBorder="1"/>
    <xf numFmtId="164" fontId="0" fillId="35" borderId="16" xfId="0" applyNumberFormat="1" applyFill="1" applyBorder="1"/>
    <xf numFmtId="164" fontId="0" fillId="34" borderId="13" xfId="0" applyNumberFormat="1" applyFill="1" applyBorder="1" applyAlignment="1">
      <alignment horizontal="right"/>
    </xf>
    <xf numFmtId="164" fontId="0" fillId="34" borderId="24" xfId="0" applyNumberFormat="1" applyFill="1" applyBorder="1" applyAlignment="1">
      <alignment horizontal="right"/>
    </xf>
    <xf numFmtId="164" fontId="0" fillId="34" borderId="17" xfId="0" applyNumberFormat="1" applyFill="1" applyBorder="1" applyAlignment="1">
      <alignment horizontal="right"/>
    </xf>
    <xf numFmtId="164" fontId="0" fillId="35" borderId="24" xfId="0" applyNumberFormat="1" applyFill="1" applyBorder="1" applyAlignment="1">
      <alignment horizontal="right"/>
    </xf>
    <xf numFmtId="164" fontId="0" fillId="35" borderId="17" xfId="0" applyNumberFormat="1" applyFill="1" applyBorder="1" applyAlignment="1">
      <alignment horizontal="right"/>
    </xf>
    <xf numFmtId="164" fontId="0" fillId="35" borderId="13" xfId="0" applyNumberFormat="1" applyFill="1" applyBorder="1" applyAlignment="1">
      <alignment horizontal="right"/>
    </xf>
    <xf numFmtId="1" fontId="16" fillId="34" borderId="10" xfId="0" applyNumberFormat="1" applyFont="1" applyFill="1" applyBorder="1" applyAlignment="1">
      <alignment horizontal="center"/>
    </xf>
    <xf numFmtId="0" fontId="0" fillId="33" borderId="13" xfId="0" applyFill="1" applyBorder="1"/>
    <xf numFmtId="0" fontId="0" fillId="33" borderId="0" xfId="0" applyFill="1" applyBorder="1"/>
    <xf numFmtId="0" fontId="0" fillId="33" borderId="24" xfId="0" applyFill="1" applyBorder="1"/>
    <xf numFmtId="0" fontId="0" fillId="33" borderId="16" xfId="0" applyFill="1" applyBorder="1"/>
    <xf numFmtId="0" fontId="0" fillId="33" borderId="17" xfId="0" applyFill="1" applyBorder="1"/>
    <xf numFmtId="164" fontId="0" fillId="33" borderId="14" xfId="0" applyNumberFormat="1" applyFill="1" applyBorder="1"/>
    <xf numFmtId="164" fontId="0" fillId="33" borderId="0" xfId="0" applyNumberFormat="1" applyFill="1" applyBorder="1"/>
    <xf numFmtId="1" fontId="0" fillId="33" borderId="14" xfId="0" applyNumberFormat="1" applyFill="1" applyBorder="1"/>
    <xf numFmtId="1" fontId="0" fillId="33" borderId="15" xfId="0" applyNumberFormat="1" applyFill="1" applyBorder="1"/>
    <xf numFmtId="0" fontId="0" fillId="0" borderId="0" xfId="0" applyBorder="1"/>
    <xf numFmtId="164" fontId="16" fillId="34" borderId="13" xfId="0" applyNumberFormat="1" applyFont="1" applyFill="1" applyBorder="1" applyAlignment="1">
      <alignment horizontal="center"/>
    </xf>
    <xf numFmtId="0" fontId="0" fillId="33" borderId="25" xfId="0" applyFill="1" applyBorder="1"/>
    <xf numFmtId="0" fontId="0" fillId="33" borderId="26" xfId="0" applyFill="1" applyBorder="1"/>
    <xf numFmtId="164" fontId="0" fillId="35" borderId="24" xfId="0" applyNumberFormat="1" applyFill="1" applyBorder="1"/>
    <xf numFmtId="164" fontId="0" fillId="35" borderId="25" xfId="0" applyNumberFormat="1" applyFill="1" applyBorder="1"/>
    <xf numFmtId="164" fontId="0" fillId="35" borderId="17" xfId="0" applyNumberFormat="1" applyFill="1" applyBorder="1"/>
    <xf numFmtId="0" fontId="0" fillId="0" borderId="0" xfId="0" applyFill="1" applyBorder="1"/>
    <xf numFmtId="1" fontId="0" fillId="0" borderId="0" xfId="0" applyNumberFormat="1" applyFill="1" applyBorder="1" applyAlignment="1">
      <alignment wrapText="1"/>
    </xf>
    <xf numFmtId="0" fontId="0" fillId="0" borderId="16" xfId="0" applyFill="1" applyBorder="1"/>
    <xf numFmtId="164" fontId="0" fillId="0" borderId="27" xfId="0" applyNumberFormat="1" applyFill="1" applyBorder="1" applyAlignment="1">
      <alignment horizontal="center"/>
    </xf>
    <xf numFmtId="1" fontId="16" fillId="35" borderId="11" xfId="0" applyNumberFormat="1" applyFont="1" applyFill="1" applyBorder="1" applyAlignment="1">
      <alignment horizontal="center" vertical="center" wrapText="1"/>
    </xf>
    <xf numFmtId="1" fontId="16" fillId="35" borderId="12" xfId="0" applyNumberFormat="1" applyFont="1" applyFill="1" applyBorder="1" applyAlignment="1">
      <alignment horizontal="center" vertical="center" wrapText="1"/>
    </xf>
    <xf numFmtId="1" fontId="16" fillId="35" borderId="13" xfId="0" applyNumberFormat="1" applyFont="1" applyFill="1" applyBorder="1" applyAlignment="1">
      <alignment horizontal="center" vertical="center" wrapText="1"/>
    </xf>
    <xf numFmtId="1" fontId="16" fillId="35" borderId="14" xfId="0" applyNumberFormat="1" applyFont="1" applyFill="1" applyBorder="1" applyAlignment="1">
      <alignment horizontal="center" vertical="center" wrapText="1"/>
    </xf>
    <xf numFmtId="1" fontId="16" fillId="35" borderId="0" xfId="0" applyNumberFormat="1" applyFont="1" applyFill="1" applyBorder="1" applyAlignment="1">
      <alignment horizontal="center" vertical="center" wrapText="1"/>
    </xf>
    <xf numFmtId="1" fontId="16" fillId="35" borderId="24" xfId="0" applyNumberFormat="1" applyFont="1" applyFill="1" applyBorder="1" applyAlignment="1">
      <alignment horizontal="center" vertical="center" wrapText="1"/>
    </xf>
    <xf numFmtId="1" fontId="16" fillId="35" borderId="15" xfId="0" applyNumberFormat="1" applyFont="1" applyFill="1" applyBorder="1" applyAlignment="1">
      <alignment horizontal="center" vertical="center" wrapText="1"/>
    </xf>
    <xf numFmtId="1" fontId="16" fillId="35" borderId="16" xfId="0" applyNumberFormat="1" applyFont="1" applyFill="1" applyBorder="1" applyAlignment="1">
      <alignment horizontal="center" vertical="center" wrapText="1"/>
    </xf>
    <xf numFmtId="1" fontId="16" fillId="35" borderId="17" xfId="0" applyNumberFormat="1" applyFont="1" applyFill="1" applyBorder="1" applyAlignment="1">
      <alignment horizontal="center" vertical="center" wrapText="1"/>
    </xf>
    <xf numFmtId="1" fontId="0" fillId="33" borderId="11" xfId="0" applyNumberFormat="1" applyFill="1" applyBorder="1" applyAlignment="1">
      <alignment horizontal="center" vertical="center"/>
    </xf>
    <xf numFmtId="1" fontId="0" fillId="33" borderId="12" xfId="0" applyNumberFormat="1" applyFill="1" applyBorder="1" applyAlignment="1">
      <alignment horizontal="center" vertical="center"/>
    </xf>
    <xf numFmtId="1" fontId="0" fillId="33" borderId="13" xfId="0" applyNumberFormat="1" applyFill="1" applyBorder="1" applyAlignment="1">
      <alignment horizontal="center" vertical="center"/>
    </xf>
    <xf numFmtId="1" fontId="0" fillId="33" borderId="14" xfId="0" applyNumberFormat="1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1" fontId="0" fillId="33" borderId="24" xfId="0" applyNumberFormat="1" applyFill="1" applyBorder="1" applyAlignment="1">
      <alignment horizontal="center" vertical="center"/>
    </xf>
    <xf numFmtId="1" fontId="0" fillId="33" borderId="15" xfId="0" applyNumberFormat="1" applyFill="1" applyBorder="1" applyAlignment="1">
      <alignment horizontal="center" vertical="center"/>
    </xf>
    <xf numFmtId="1" fontId="0" fillId="33" borderId="16" xfId="0" applyNumberFormat="1" applyFill="1" applyBorder="1" applyAlignment="1">
      <alignment horizontal="center" vertical="center"/>
    </xf>
    <xf numFmtId="1" fontId="0" fillId="33" borderId="17" xfId="0" applyNumberFormat="1" applyFill="1" applyBorder="1" applyAlignment="1">
      <alignment horizontal="center" vertical="center"/>
    </xf>
    <xf numFmtId="1" fontId="16" fillId="34" borderId="11" xfId="0" applyNumberFormat="1" applyFont="1" applyFill="1" applyBorder="1" applyAlignment="1">
      <alignment horizontal="center" wrapText="1"/>
    </xf>
    <xf numFmtId="1" fontId="16" fillId="34" borderId="12" xfId="0" applyNumberFormat="1" applyFont="1" applyFill="1" applyBorder="1" applyAlignment="1">
      <alignment horizontal="center" wrapText="1"/>
    </xf>
    <xf numFmtId="1" fontId="16" fillId="34" borderId="13" xfId="0" applyNumberFormat="1" applyFont="1" applyFill="1" applyBorder="1" applyAlignment="1">
      <alignment horizontal="center" wrapText="1"/>
    </xf>
    <xf numFmtId="1" fontId="16" fillId="34" borderId="15" xfId="0" applyNumberFormat="1" applyFont="1" applyFill="1" applyBorder="1" applyAlignment="1">
      <alignment horizontal="center" wrapText="1"/>
    </xf>
    <xf numFmtId="1" fontId="16" fillId="34" borderId="16" xfId="0" applyNumberFormat="1" applyFont="1" applyFill="1" applyBorder="1" applyAlignment="1">
      <alignment horizontal="center" wrapText="1"/>
    </xf>
    <xf numFmtId="1" fontId="16" fillId="34" borderId="17" xfId="0" applyNumberFormat="1" applyFont="1" applyFill="1" applyBorder="1" applyAlignment="1">
      <alignment horizontal="center"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21FF46"/>
      <color rgb="FFDF9500"/>
      <color rgb="FFC76D00"/>
      <color rgb="FFCDED2D"/>
      <color rgb="FF050505"/>
      <color rgb="FF111111"/>
      <color rgb="FF141414"/>
      <color rgb="FF222222"/>
      <color rgb="FF1C1C1C"/>
      <color rgb="FF37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112</xdr:row>
      <xdr:rowOff>0</xdr:rowOff>
    </xdr:from>
    <xdr:to>
      <xdr:col>3</xdr:col>
      <xdr:colOff>657225</xdr:colOff>
      <xdr:row>123</xdr:row>
      <xdr:rowOff>0</xdr:rowOff>
    </xdr:to>
    <xdr:grpSp>
      <xdr:nvGrpSpPr>
        <xdr:cNvPr id="6" name="5 Grupo"/>
        <xdr:cNvGrpSpPr/>
      </xdr:nvGrpSpPr>
      <xdr:grpSpPr>
        <a:xfrm>
          <a:off x="57150" y="21488400"/>
          <a:ext cx="2886075" cy="2095500"/>
          <a:chOff x="57150" y="19754850"/>
          <a:chExt cx="2886075" cy="2095500"/>
        </a:xfrm>
      </xdr:grpSpPr>
      <xdr:sp macro="" textlink="">
        <xdr:nvSpPr>
          <xdr:cNvPr id="5" name="4 CuadroTexto"/>
          <xdr:cNvSpPr txBox="1"/>
        </xdr:nvSpPr>
        <xdr:spPr>
          <a:xfrm>
            <a:off x="57150" y="19754850"/>
            <a:ext cx="2886075" cy="2095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In order to color the (COLOR) cell</a:t>
            </a:r>
            <a:r>
              <a:rPr lang="es-ES" sz="1100" baseline="0"/>
              <a:t> according to the obtained RGB values: </a:t>
            </a:r>
          </a:p>
          <a:p>
            <a:endParaRPr lang="es-ES" sz="1100" baseline="0"/>
          </a:p>
          <a:p>
            <a:r>
              <a:rPr lang="es-ES" sz="1100" baseline="0"/>
              <a:t>1. Select all the (COLOR) cells you want to color.</a:t>
            </a:r>
          </a:p>
          <a:p>
            <a:r>
              <a:rPr lang="es-ES" sz="1100" baseline="0"/>
              <a:t>2. Press the next button.</a:t>
            </a:r>
            <a:endParaRPr lang="es-ES" sz="1100"/>
          </a:p>
        </xdr:txBody>
      </xdr:sp>
      <xdr:sp macro="[0]!Hoja1.Addcolor" textlink="">
        <xdr:nvSpPr>
          <xdr:cNvPr id="4" name="3 Rectángulo redondeado"/>
          <xdr:cNvSpPr/>
        </xdr:nvSpPr>
        <xdr:spPr>
          <a:xfrm>
            <a:off x="257175" y="20916900"/>
            <a:ext cx="2486025" cy="762000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800" baseline="0"/>
              <a:t>Press this button to change the color</a:t>
            </a:r>
            <a:endParaRPr lang="es-ES" sz="1800"/>
          </a:p>
        </xdr:txBody>
      </xdr:sp>
    </xdr:grpSp>
    <xdr:clientData/>
  </xdr:twoCellAnchor>
  <xdr:twoCellAnchor>
    <xdr:from>
      <xdr:col>1</xdr:col>
      <xdr:colOff>110728</xdr:colOff>
      <xdr:row>6</xdr:row>
      <xdr:rowOff>85725</xdr:rowOff>
    </xdr:from>
    <xdr:to>
      <xdr:col>2</xdr:col>
      <xdr:colOff>523875</xdr:colOff>
      <xdr:row>8</xdr:row>
      <xdr:rowOff>96440</xdr:rowOff>
    </xdr:to>
    <xdr:grpSp>
      <xdr:nvGrpSpPr>
        <xdr:cNvPr id="39" name="38 Grupo"/>
        <xdr:cNvGrpSpPr/>
      </xdr:nvGrpSpPr>
      <xdr:grpSpPr>
        <a:xfrm>
          <a:off x="872728" y="1238250"/>
          <a:ext cx="1175147" cy="391715"/>
          <a:chOff x="158353" y="971550"/>
          <a:chExt cx="1175147" cy="391715"/>
        </a:xfrm>
      </xdr:grpSpPr>
      <xdr:sp macro="[0]!From380to780" textlink="">
        <xdr:nvSpPr>
          <xdr:cNvPr id="34" name="33 Rectángulo redondeado"/>
          <xdr:cNvSpPr/>
        </xdr:nvSpPr>
        <xdr:spPr>
          <a:xfrm>
            <a:off x="158353" y="972740"/>
            <a:ext cx="571500" cy="390525"/>
          </a:xfrm>
          <a:prstGeom prst="round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800"/>
              <a:t>Yes</a:t>
            </a:r>
            <a:endParaRPr lang="es-ES" sz="1100"/>
          </a:p>
        </xdr:txBody>
      </xdr:sp>
      <xdr:sp macro="[0]!From780to380" textlink="">
        <xdr:nvSpPr>
          <xdr:cNvPr id="38" name="37 Rectángulo redondeado"/>
          <xdr:cNvSpPr/>
        </xdr:nvSpPr>
        <xdr:spPr>
          <a:xfrm>
            <a:off x="762000" y="971550"/>
            <a:ext cx="571500" cy="390525"/>
          </a:xfrm>
          <a:prstGeom prst="round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800"/>
              <a:t>No</a:t>
            </a:r>
            <a:endParaRPr lang="es-E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25"/>
  <sheetViews>
    <sheetView tabSelected="1" zoomScaleNormal="100" workbookViewId="0">
      <selection sqref="A1:D2"/>
    </sheetView>
  </sheetViews>
  <sheetFormatPr baseColWidth="10" defaultRowHeight="15" x14ac:dyDescent="0.25"/>
  <cols>
    <col min="1" max="1" width="11.42578125" style="1"/>
  </cols>
  <sheetData>
    <row r="1" spans="1:15" x14ac:dyDescent="0.25">
      <c r="A1" s="68" t="s">
        <v>31</v>
      </c>
      <c r="B1" s="69"/>
      <c r="C1" s="69"/>
      <c r="D1" s="70"/>
      <c r="E1" s="46"/>
      <c r="F1" s="46"/>
      <c r="G1" s="46"/>
      <c r="H1" s="46"/>
      <c r="I1" s="39"/>
    </row>
    <row r="2" spans="1:15" ht="15" customHeight="1" thickBot="1" x14ac:dyDescent="0.3">
      <c r="A2" s="71"/>
      <c r="B2" s="72"/>
      <c r="C2" s="72"/>
      <c r="D2" s="73"/>
      <c r="E2" s="46"/>
      <c r="F2" s="46"/>
      <c r="G2" s="46"/>
      <c r="H2" s="46"/>
      <c r="I2" s="39"/>
    </row>
    <row r="3" spans="1:15" ht="15" customHeight="1" x14ac:dyDescent="0.25">
      <c r="A3" s="50" t="s">
        <v>30</v>
      </c>
      <c r="B3" s="51"/>
      <c r="C3" s="51"/>
      <c r="D3" s="52"/>
      <c r="E3" s="47"/>
      <c r="F3" s="47"/>
      <c r="G3" s="46"/>
      <c r="H3" s="2"/>
    </row>
    <row r="4" spans="1:15" x14ac:dyDescent="0.25">
      <c r="A4" s="53"/>
      <c r="B4" s="54"/>
      <c r="C4" s="54"/>
      <c r="D4" s="55"/>
      <c r="E4" s="47"/>
      <c r="F4" s="47"/>
      <c r="G4" s="46"/>
      <c r="H4" s="2"/>
    </row>
    <row r="5" spans="1:15" ht="15" customHeight="1" x14ac:dyDescent="0.25">
      <c r="A5" s="53"/>
      <c r="B5" s="54"/>
      <c r="C5" s="54"/>
      <c r="D5" s="55"/>
      <c r="E5" s="47"/>
      <c r="F5" s="47"/>
      <c r="G5" s="46"/>
      <c r="H5" s="2"/>
    </row>
    <row r="6" spans="1:15" ht="15.75" thickBot="1" x14ac:dyDescent="0.3">
      <c r="A6" s="56"/>
      <c r="B6" s="57"/>
      <c r="C6" s="57"/>
      <c r="D6" s="58"/>
      <c r="E6" s="47"/>
      <c r="F6" s="47"/>
      <c r="G6" s="46"/>
      <c r="H6" s="2"/>
    </row>
    <row r="7" spans="1:15" x14ac:dyDescent="0.25">
      <c r="A7" s="59"/>
      <c r="B7" s="60"/>
      <c r="C7" s="60"/>
      <c r="D7" s="61"/>
      <c r="E7" s="46"/>
      <c r="F7" s="46"/>
      <c r="G7" s="46"/>
      <c r="H7" s="2"/>
    </row>
    <row r="8" spans="1:15" x14ac:dyDescent="0.25">
      <c r="A8" s="62"/>
      <c r="B8" s="63"/>
      <c r="C8" s="63"/>
      <c r="D8" s="64"/>
      <c r="E8" s="46"/>
      <c r="F8" s="46"/>
      <c r="G8" s="46"/>
      <c r="H8" s="2"/>
    </row>
    <row r="9" spans="1:15" ht="15.75" thickBot="1" x14ac:dyDescent="0.3">
      <c r="A9" s="65"/>
      <c r="B9" s="66"/>
      <c r="C9" s="66"/>
      <c r="D9" s="67"/>
      <c r="E9" s="48"/>
      <c r="F9" s="48"/>
      <c r="G9" s="2"/>
      <c r="H9" s="2"/>
    </row>
    <row r="10" spans="1:15" ht="15.75" thickBot="1" x14ac:dyDescent="0.3">
      <c r="A10" s="3" t="s">
        <v>27</v>
      </c>
      <c r="B10" s="4"/>
      <c r="C10" s="5" t="s">
        <v>28</v>
      </c>
      <c r="D10" s="6"/>
      <c r="E10" s="6" t="s">
        <v>29</v>
      </c>
      <c r="F10" s="6" t="s">
        <v>29</v>
      </c>
      <c r="G10" s="6" t="s">
        <v>29</v>
      </c>
      <c r="H10" s="6" t="s">
        <v>29</v>
      </c>
      <c r="I10" s="6" t="s">
        <v>29</v>
      </c>
      <c r="J10" s="6" t="s">
        <v>29</v>
      </c>
      <c r="K10" s="6" t="s">
        <v>29</v>
      </c>
      <c r="L10" s="6" t="s">
        <v>29</v>
      </c>
      <c r="M10" s="6" t="s">
        <v>29</v>
      </c>
      <c r="N10" s="6" t="s">
        <v>29</v>
      </c>
      <c r="O10" s="6" t="s">
        <v>29</v>
      </c>
    </row>
    <row r="11" spans="1:15" ht="15.75" thickBot="1" x14ac:dyDescent="0.3">
      <c r="A11" s="7"/>
      <c r="B11" s="8" t="s">
        <v>13</v>
      </c>
      <c r="C11" s="9" t="s">
        <v>14</v>
      </c>
      <c r="D11" s="10" t="s">
        <v>15</v>
      </c>
      <c r="E11" s="40" t="s">
        <v>0</v>
      </c>
      <c r="F11" s="40" t="s">
        <v>0</v>
      </c>
      <c r="G11" s="40" t="s">
        <v>0</v>
      </c>
      <c r="H11" s="40" t="s">
        <v>0</v>
      </c>
      <c r="I11" s="40" t="s">
        <v>0</v>
      </c>
      <c r="J11" s="40" t="s">
        <v>0</v>
      </c>
      <c r="K11" s="40" t="s">
        <v>0</v>
      </c>
      <c r="L11" s="40" t="s">
        <v>0</v>
      </c>
      <c r="M11" s="40" t="s">
        <v>0</v>
      </c>
      <c r="N11" s="40" t="s">
        <v>0</v>
      </c>
      <c r="O11" s="40" t="s">
        <v>0</v>
      </c>
    </row>
    <row r="12" spans="1:15" x14ac:dyDescent="0.25">
      <c r="A12" s="11">
        <v>380</v>
      </c>
      <c r="B12" s="17">
        <v>4.3029551512666206E-4</v>
      </c>
      <c r="C12" s="18">
        <v>0</v>
      </c>
      <c r="D12" s="43">
        <v>1.5060343029433172E-3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spans="1:15" x14ac:dyDescent="0.25">
      <c r="A13" s="11">
        <v>385</v>
      </c>
      <c r="B13" s="17">
        <v>1.5753118808787096E-3</v>
      </c>
      <c r="C13" s="18">
        <v>2.2504455441124427E-4</v>
      </c>
      <c r="D13" s="43">
        <v>6.5262920779260826E-3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1:15" x14ac:dyDescent="0.25">
      <c r="A14" s="11">
        <v>390</v>
      </c>
      <c r="B14" s="17">
        <v>5.6385924302197795E-3</v>
      </c>
      <c r="C14" s="18">
        <v>7.0482405377747244E-4</v>
      </c>
      <c r="D14" s="43">
        <v>2.4668841882211537E-2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1:15" x14ac:dyDescent="0.25">
      <c r="A15" s="11">
        <v>395</v>
      </c>
      <c r="B15" s="17">
        <v>2.1284137360225212E-2</v>
      </c>
      <c r="C15" s="18">
        <v>2.364904151136135E-3</v>
      </c>
      <c r="D15" s="43">
        <v>9.548300510212146E-2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</row>
    <row r="16" spans="1:15" x14ac:dyDescent="0.25">
      <c r="A16" s="11">
        <v>400</v>
      </c>
      <c r="B16" s="17">
        <v>6.8050375126251339E-2</v>
      </c>
      <c r="C16" s="18">
        <v>7.1256937304975242E-3</v>
      </c>
      <c r="D16" s="43">
        <v>0.30640483041139349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</row>
    <row r="17" spans="1:15" x14ac:dyDescent="0.25">
      <c r="A17" s="11">
        <v>405</v>
      </c>
      <c r="B17" s="17">
        <v>0.16265772885509003</v>
      </c>
      <c r="C17" s="18">
        <v>1.6865432715389518E-2</v>
      </c>
      <c r="D17" s="43">
        <v>0.73870595293406094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</row>
    <row r="18" spans="1:15" x14ac:dyDescent="0.25">
      <c r="A18" s="11">
        <v>410</v>
      </c>
      <c r="B18" s="17">
        <v>0.33348117570073871</v>
      </c>
      <c r="C18" s="18">
        <v>3.4647394877998831E-2</v>
      </c>
      <c r="D18" s="43">
        <v>1.5331472233514483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</row>
    <row r="19" spans="1:15" x14ac:dyDescent="0.25">
      <c r="A19" s="11">
        <v>415</v>
      </c>
      <c r="B19" s="17">
        <v>0.55962083219798031</v>
      </c>
      <c r="C19" s="18">
        <v>5.7713385966363551E-2</v>
      </c>
      <c r="D19" s="43">
        <v>2.6142173726005229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</row>
    <row r="20" spans="1:15" x14ac:dyDescent="0.25">
      <c r="A20" s="11">
        <v>420</v>
      </c>
      <c r="B20" s="17">
        <v>0.82187734275737834</v>
      </c>
      <c r="C20" s="18">
        <v>8.6005746381456707E-2</v>
      </c>
      <c r="D20" s="43">
        <v>3.9084387082227408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</row>
    <row r="21" spans="1:15" x14ac:dyDescent="0.25">
      <c r="A21" s="12">
        <v>425</v>
      </c>
      <c r="B21" s="19">
        <v>1.0262319979147871</v>
      </c>
      <c r="C21" s="20">
        <v>0.11437039644309113</v>
      </c>
      <c r="D21" s="44">
        <v>4.9722045233309959</v>
      </c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</row>
    <row r="22" spans="1:15" x14ac:dyDescent="0.25">
      <c r="A22" s="11">
        <v>430</v>
      </c>
      <c r="B22" s="17">
        <v>1.174039367951826</v>
      </c>
      <c r="C22" s="18">
        <v>0.1443766238949338</v>
      </c>
      <c r="D22" s="43">
        <v>5.7955835974361678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</row>
    <row r="23" spans="1:15" x14ac:dyDescent="0.25">
      <c r="A23" s="11">
        <v>435</v>
      </c>
      <c r="B23" s="17">
        <v>1.4745220411885314</v>
      </c>
      <c r="C23" s="18">
        <v>0.20446265933170574</v>
      </c>
      <c r="D23" s="43">
        <v>7.4138325162917909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</row>
    <row r="24" spans="1:15" x14ac:dyDescent="0.25">
      <c r="A24" s="11">
        <v>440</v>
      </c>
      <c r="B24" s="17">
        <v>1.7319450422265115</v>
      </c>
      <c r="C24" s="18">
        <v>0.28030697712344638</v>
      </c>
      <c r="D24" s="43">
        <v>8.8799986488720783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</row>
    <row r="25" spans="1:15" x14ac:dyDescent="0.25">
      <c r="A25" s="11">
        <v>445</v>
      </c>
      <c r="B25" s="17">
        <v>1.8453236075072357</v>
      </c>
      <c r="C25" s="18">
        <v>0.35646670152777482</v>
      </c>
      <c r="D25" s="43">
        <v>9.6742295047825682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</row>
    <row r="26" spans="1:15" x14ac:dyDescent="0.25">
      <c r="A26" s="11">
        <v>450</v>
      </c>
      <c r="B26" s="17">
        <v>1.8662734052522074</v>
      </c>
      <c r="C26" s="18">
        <v>0.45058394866488416</v>
      </c>
      <c r="D26" s="43">
        <v>10.042735874823586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</row>
    <row r="27" spans="1:15" x14ac:dyDescent="0.25">
      <c r="A27" s="11">
        <v>455</v>
      </c>
      <c r="B27" s="17">
        <v>1.7327225862223457</v>
      </c>
      <c r="C27" s="18">
        <v>0.53699245164849951</v>
      </c>
      <c r="D27" s="43">
        <v>9.6017079289586356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</row>
    <row r="28" spans="1:15" x14ac:dyDescent="0.25">
      <c r="A28" s="11">
        <v>460</v>
      </c>
      <c r="B28" s="17">
        <v>1.5323227771444656</v>
      </c>
      <c r="C28" s="18">
        <v>0.64983056576222453</v>
      </c>
      <c r="D28" s="43">
        <v>8.8472251909624564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</row>
    <row r="29" spans="1:15" x14ac:dyDescent="0.25">
      <c r="A29" s="11">
        <v>465</v>
      </c>
      <c r="B29" s="17">
        <v>1.2716019912785546</v>
      </c>
      <c r="C29" s="18">
        <v>0.7646626692930466</v>
      </c>
      <c r="D29" s="43">
        <v>7.7812433539512966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</row>
    <row r="30" spans="1:15" x14ac:dyDescent="0.25">
      <c r="A30" s="11">
        <v>470</v>
      </c>
      <c r="B30" s="17">
        <v>0.96706507369832595</v>
      </c>
      <c r="C30" s="18">
        <v>0.91564648082275046</v>
      </c>
      <c r="D30" s="43">
        <v>6.5143401896979265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</row>
    <row r="31" spans="1:15" x14ac:dyDescent="0.25">
      <c r="A31" s="12">
        <v>475</v>
      </c>
      <c r="B31" s="19">
        <v>0.65695023535551034</v>
      </c>
      <c r="C31" s="20">
        <v>1.0919376927791136</v>
      </c>
      <c r="D31" s="44">
        <v>5.1155716739474428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</row>
    <row r="32" spans="1:15" x14ac:dyDescent="0.25">
      <c r="A32" s="11">
        <v>480</v>
      </c>
      <c r="B32" s="17">
        <v>0.40146356413560008</v>
      </c>
      <c r="C32" s="18">
        <v>1.2647349051526482</v>
      </c>
      <c r="D32" s="43">
        <v>3.8505592281875383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3" spans="1:15" x14ac:dyDescent="0.25">
      <c r="A33" s="11">
        <v>485</v>
      </c>
      <c r="B33" s="17">
        <v>0.19878103734997332</v>
      </c>
      <c r="C33" s="18">
        <v>1.4398324773500502</v>
      </c>
      <c r="D33" s="43">
        <v>2.7573009584725017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</row>
    <row r="34" spans="1:15" x14ac:dyDescent="0.25">
      <c r="A34" s="11">
        <v>490</v>
      </c>
      <c r="B34" s="17">
        <v>7.5842166314164947E-2</v>
      </c>
      <c r="C34" s="18">
        <v>1.5875357158724281</v>
      </c>
      <c r="D34" s="43">
        <v>1.9442747944612782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</row>
    <row r="35" spans="1:15" x14ac:dyDescent="0.25">
      <c r="A35" s="11">
        <v>495</v>
      </c>
      <c r="B35" s="17">
        <v>2.3942072757162602E-2</v>
      </c>
      <c r="C35" s="18">
        <v>1.8562148172906063</v>
      </c>
      <c r="D35" s="43">
        <v>1.4196240787776413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</row>
    <row r="36" spans="1:15" x14ac:dyDescent="0.25">
      <c r="A36" s="11">
        <v>500</v>
      </c>
      <c r="B36" s="17">
        <v>1.7888245154845599E-2</v>
      </c>
      <c r="C36" s="18">
        <v>2.1691850966718027</v>
      </c>
      <c r="D36" s="43">
        <v>1.0285740964036219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</row>
    <row r="37" spans="1:15" x14ac:dyDescent="0.25">
      <c r="A37" s="11">
        <v>505</v>
      </c>
      <c r="B37" s="17">
        <v>7.1964343131843467E-2</v>
      </c>
      <c r="C37" s="18">
        <v>2.4832371389780268</v>
      </c>
      <c r="D37" s="43">
        <v>0.74394307964866757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1:15" x14ac:dyDescent="0.25">
      <c r="A38" s="11">
        <v>510</v>
      </c>
      <c r="B38" s="17">
        <v>0.17394696198995313</v>
      </c>
      <c r="C38" s="18">
        <v>2.8142299157147885</v>
      </c>
      <c r="D38" s="43">
        <v>0.5195215931433268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</row>
    <row r="39" spans="1:15" x14ac:dyDescent="0.25">
      <c r="A39" s="11">
        <v>515</v>
      </c>
      <c r="B39" s="17">
        <v>0.32658655066186426</v>
      </c>
      <c r="C39" s="18">
        <v>3.1364201370986038</v>
      </c>
      <c r="D39" s="43">
        <v>0.37598619698046554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</row>
    <row r="40" spans="1:15" x14ac:dyDescent="0.25">
      <c r="A40" s="11">
        <v>520</v>
      </c>
      <c r="B40" s="17">
        <v>0.53076779672667707</v>
      </c>
      <c r="C40" s="18">
        <v>3.4353348134781876</v>
      </c>
      <c r="D40" s="43">
        <v>0.27372646781061427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1:15" x14ac:dyDescent="0.25">
      <c r="A41" s="12">
        <v>525</v>
      </c>
      <c r="B41" s="19">
        <v>0.7905647381216111</v>
      </c>
      <c r="C41" s="20">
        <v>3.7622656005521531</v>
      </c>
      <c r="D41" s="44">
        <v>0.196955723774806</v>
      </c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</row>
    <row r="42" spans="1:15" x14ac:dyDescent="0.25">
      <c r="A42" s="11">
        <v>530</v>
      </c>
      <c r="B42" s="17">
        <v>1.0960078580566965</v>
      </c>
      <c r="C42" s="18">
        <v>4.0559242172144643</v>
      </c>
      <c r="D42" s="43">
        <v>0.14134562228638159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</row>
    <row r="43" spans="1:15" x14ac:dyDescent="0.25">
      <c r="A43" s="11">
        <v>535</v>
      </c>
      <c r="B43" s="17">
        <v>1.3874964944362245</v>
      </c>
      <c r="C43" s="18">
        <v>4.2135741668645101</v>
      </c>
      <c r="D43" s="43">
        <v>9.3959328683057938E-2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</row>
    <row r="44" spans="1:15" x14ac:dyDescent="0.25">
      <c r="A44" s="11">
        <v>540</v>
      </c>
      <c r="B44" s="17">
        <v>1.6926930550411423</v>
      </c>
      <c r="C44" s="18">
        <v>4.3215783411613025</v>
      </c>
      <c r="D44" s="43">
        <v>6.1544306937536229E-2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</row>
    <row r="45" spans="1:15" x14ac:dyDescent="0.25">
      <c r="A45" s="11">
        <v>545</v>
      </c>
      <c r="B45" s="17">
        <v>2.0248295572571102</v>
      </c>
      <c r="C45" s="18">
        <v>4.4038697766561858</v>
      </c>
      <c r="D45" s="43">
        <v>3.5421066214196571E-2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1:15" x14ac:dyDescent="0.25">
      <c r="A46" s="11">
        <v>550</v>
      </c>
      <c r="B46" s="17">
        <v>2.3708938647066979</v>
      </c>
      <c r="C46" s="18">
        <v>4.4383777557872834</v>
      </c>
      <c r="D46" s="43">
        <v>1.7900293429269142E-2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</row>
    <row r="47" spans="1:15" x14ac:dyDescent="0.25">
      <c r="A47" s="11">
        <v>555</v>
      </c>
      <c r="B47" s="17">
        <v>2.7040716820692721</v>
      </c>
      <c r="C47" s="18">
        <v>4.38506414146309</v>
      </c>
      <c r="D47" s="43">
        <v>4.8279156797211486E-3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</row>
    <row r="48" spans="1:15" x14ac:dyDescent="0.25">
      <c r="A48" s="11">
        <v>560</v>
      </c>
      <c r="B48" s="17">
        <v>3.0344439726732215</v>
      </c>
      <c r="C48" s="18">
        <v>4.2913371723582001</v>
      </c>
      <c r="D48" s="43">
        <v>0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</row>
    <row r="49" spans="1:15" x14ac:dyDescent="0.25">
      <c r="A49" s="11">
        <v>565</v>
      </c>
      <c r="B49" s="17">
        <v>3.3542034546920858</v>
      </c>
      <c r="C49" s="18">
        <v>4.1511331240734508</v>
      </c>
      <c r="D49" s="43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  <row r="50" spans="1:15" x14ac:dyDescent="0.25">
      <c r="A50" s="11">
        <v>570</v>
      </c>
      <c r="B50" s="17">
        <v>3.6411094438355143</v>
      </c>
      <c r="C50" s="18">
        <v>3.9597634966760187</v>
      </c>
      <c r="D50" s="43">
        <v>0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</row>
    <row r="51" spans="1:15" x14ac:dyDescent="0.25">
      <c r="A51" s="12">
        <v>575</v>
      </c>
      <c r="B51" s="19">
        <v>3.9333450732293018</v>
      </c>
      <c r="C51" s="20">
        <v>3.7844800368160816</v>
      </c>
      <c r="D51" s="44">
        <v>0</v>
      </c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</row>
    <row r="52" spans="1:15" x14ac:dyDescent="0.25">
      <c r="A52" s="11">
        <v>580</v>
      </c>
      <c r="B52" s="17">
        <v>4.1807667156091934</v>
      </c>
      <c r="C52" s="18">
        <v>3.5818065462362725</v>
      </c>
      <c r="D52" s="43">
        <v>0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</row>
    <row r="53" spans="1:15" x14ac:dyDescent="0.25">
      <c r="A53" s="11">
        <v>585</v>
      </c>
      <c r="B53" s="17">
        <v>4.2620968709232834</v>
      </c>
      <c r="C53" s="18">
        <v>3.2754232306006359</v>
      </c>
      <c r="D53" s="43">
        <v>0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</row>
    <row r="54" spans="1:15" x14ac:dyDescent="0.25">
      <c r="A54" s="11">
        <v>590</v>
      </c>
      <c r="B54" s="17">
        <v>4.2690026836455521</v>
      </c>
      <c r="C54" s="18">
        <v>2.9671190757854733</v>
      </c>
      <c r="D54" s="43">
        <v>0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</row>
    <row r="55" spans="1:15" x14ac:dyDescent="0.25">
      <c r="A55" s="11">
        <v>595</v>
      </c>
      <c r="B55" s="17">
        <v>4.3585919310769832</v>
      </c>
      <c r="C55" s="18">
        <v>2.7681650596384193</v>
      </c>
      <c r="D55" s="43">
        <v>0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</row>
    <row r="56" spans="1:15" x14ac:dyDescent="0.25">
      <c r="A56" s="11">
        <v>600</v>
      </c>
      <c r="B56" s="17">
        <v>4.3528694310213139</v>
      </c>
      <c r="C56" s="18">
        <v>2.5493718384709347</v>
      </c>
      <c r="D56" s="43">
        <v>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</row>
    <row r="57" spans="1:15" x14ac:dyDescent="0.25">
      <c r="A57" s="11">
        <v>605</v>
      </c>
      <c r="B57" s="17">
        <v>4.2083409128095397</v>
      </c>
      <c r="C57" s="18">
        <v>2.2948615077748471</v>
      </c>
      <c r="D57" s="43">
        <v>0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15" x14ac:dyDescent="0.25">
      <c r="A58" s="11">
        <v>610</v>
      </c>
      <c r="B58" s="17">
        <v>3.973038973908706</v>
      </c>
      <c r="C58" s="18">
        <v>2.0356764466024231</v>
      </c>
      <c r="D58" s="43">
        <v>0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</row>
    <row r="59" spans="1:15" x14ac:dyDescent="0.25">
      <c r="A59" s="11">
        <v>615</v>
      </c>
      <c r="B59" s="17">
        <v>3.6244660436059299</v>
      </c>
      <c r="C59" s="18">
        <v>1.7605747543254637</v>
      </c>
      <c r="D59" s="43">
        <v>0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</row>
    <row r="60" spans="1:15" x14ac:dyDescent="0.25">
      <c r="A60" s="11">
        <v>620</v>
      </c>
      <c r="B60" s="17">
        <v>3.2314121750179656</v>
      </c>
      <c r="C60" s="18">
        <v>1.5023066528957749</v>
      </c>
      <c r="D60" s="43">
        <v>0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</row>
    <row r="61" spans="1:15" x14ac:dyDescent="0.25">
      <c r="A61" s="12">
        <v>625</v>
      </c>
      <c r="B61" s="19">
        <v>2.7772972213559517</v>
      </c>
      <c r="C61" s="20">
        <v>1.2493974518114734</v>
      </c>
      <c r="D61" s="44">
        <v>0</v>
      </c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</row>
    <row r="62" spans="1:15" x14ac:dyDescent="0.25">
      <c r="A62" s="11">
        <v>630</v>
      </c>
      <c r="B62" s="17">
        <v>2.3208741625507989</v>
      </c>
      <c r="C62" s="18">
        <v>1.0161665252249443</v>
      </c>
      <c r="D62" s="43">
        <v>0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</row>
    <row r="63" spans="1:15" x14ac:dyDescent="0.25">
      <c r="A63" s="11">
        <v>635</v>
      </c>
      <c r="B63" s="17">
        <v>1.922596936704712</v>
      </c>
      <c r="C63" s="18">
        <v>0.82027449196353153</v>
      </c>
      <c r="D63" s="43">
        <v>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</row>
    <row r="64" spans="1:15" x14ac:dyDescent="0.25">
      <c r="A64" s="11">
        <v>640</v>
      </c>
      <c r="B64" s="17">
        <v>1.5544391060309459</v>
      </c>
      <c r="C64" s="18">
        <v>0.64756290839750708</v>
      </c>
      <c r="D64" s="43">
        <v>0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</row>
    <row r="65" spans="1:15" x14ac:dyDescent="0.25">
      <c r="A65" s="11">
        <v>645</v>
      </c>
      <c r="B65" s="17">
        <v>1.2112401364165866</v>
      </c>
      <c r="C65" s="18">
        <v>0.49408166169800827</v>
      </c>
      <c r="D65" s="43">
        <v>0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</row>
    <row r="66" spans="1:15" x14ac:dyDescent="0.25">
      <c r="A66" s="11">
        <v>650</v>
      </c>
      <c r="B66" s="17">
        <v>0.92358629366786738</v>
      </c>
      <c r="C66" s="18">
        <v>0.37039837942103071</v>
      </c>
      <c r="D66" s="43">
        <v>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</row>
    <row r="67" spans="1:15" x14ac:dyDescent="0.25">
      <c r="A67" s="11">
        <v>655</v>
      </c>
      <c r="B67" s="17">
        <v>0.7041540836604202</v>
      </c>
      <c r="C67" s="18">
        <v>0.27986936658456252</v>
      </c>
      <c r="D67" s="43">
        <v>0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</row>
    <row r="68" spans="1:15" x14ac:dyDescent="0.25">
      <c r="A68" s="11">
        <v>660</v>
      </c>
      <c r="B68" s="17">
        <v>0.52661802677879566</v>
      </c>
      <c r="C68" s="18">
        <v>0.20809349288834453</v>
      </c>
      <c r="D68" s="43">
        <v>0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</row>
    <row r="69" spans="1:15" x14ac:dyDescent="0.25">
      <c r="A69" s="11">
        <v>665</v>
      </c>
      <c r="B69" s="17">
        <v>0.39202675319335728</v>
      </c>
      <c r="C69" s="18">
        <v>0.15408538160273669</v>
      </c>
      <c r="D69" s="43">
        <v>0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</row>
    <row r="70" spans="1:15" x14ac:dyDescent="0.25">
      <c r="A70" s="11">
        <v>670</v>
      </c>
      <c r="B70" s="17">
        <v>0.28791029887573444</v>
      </c>
      <c r="C70" s="18">
        <v>0.11261436044585924</v>
      </c>
      <c r="D70" s="43">
        <v>0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</row>
    <row r="71" spans="1:15" x14ac:dyDescent="0.25">
      <c r="A71" s="12">
        <v>675</v>
      </c>
      <c r="B71" s="19">
        <v>0.20006030591644489</v>
      </c>
      <c r="C71" s="20">
        <v>7.8089169494156369E-2</v>
      </c>
      <c r="D71" s="44">
        <v>0</v>
      </c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</row>
    <row r="72" spans="1:15" x14ac:dyDescent="0.25">
      <c r="A72" s="11">
        <v>680</v>
      </c>
      <c r="B72" s="17">
        <v>0.13780084783276814</v>
      </c>
      <c r="C72" s="18">
        <v>5.3570500746724051E-2</v>
      </c>
      <c r="D72" s="43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</row>
    <row r="73" spans="1:15" x14ac:dyDescent="0.25">
      <c r="A73" s="11">
        <v>685</v>
      </c>
      <c r="B73" s="17">
        <v>9.1067742821406769E-2</v>
      </c>
      <c r="C73" s="18">
        <v>3.5344473612504021E-2</v>
      </c>
      <c r="D73" s="43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</row>
    <row r="74" spans="1:15" x14ac:dyDescent="0.25">
      <c r="A74" s="11">
        <v>690</v>
      </c>
      <c r="B74" s="17">
        <v>5.9683278834613419E-2</v>
      </c>
      <c r="C74" s="18">
        <v>2.3093530001332827E-2</v>
      </c>
      <c r="D74" s="43">
        <v>0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</row>
    <row r="75" spans="1:15" x14ac:dyDescent="0.25">
      <c r="A75" s="11">
        <v>695</v>
      </c>
      <c r="B75" s="17">
        <v>4.1982212228847911E-2</v>
      </c>
      <c r="C75" s="18">
        <v>1.6427822176505704E-2</v>
      </c>
      <c r="D75" s="43">
        <v>0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</row>
    <row r="76" spans="1:15" x14ac:dyDescent="0.25">
      <c r="A76" s="11">
        <v>700</v>
      </c>
      <c r="B76" s="17">
        <v>2.9576792527746237E-2</v>
      </c>
      <c r="C76" s="18">
        <v>1.1399388786735531E-2</v>
      </c>
      <c r="D76" s="43">
        <v>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</row>
    <row r="77" spans="1:15" x14ac:dyDescent="0.25">
      <c r="A77" s="11">
        <v>705</v>
      </c>
      <c r="B77" s="17">
        <v>2.073163791880258E-2</v>
      </c>
      <c r="C77" s="18">
        <v>8.1670088771040455E-3</v>
      </c>
      <c r="D77" s="43">
        <v>0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</row>
    <row r="78" spans="1:15" x14ac:dyDescent="0.25">
      <c r="A78" s="11">
        <v>710</v>
      </c>
      <c r="B78" s="17">
        <v>1.4706640115999056E-2</v>
      </c>
      <c r="C78" s="18">
        <v>5.7547722193039786E-3</v>
      </c>
      <c r="D78" s="43">
        <v>0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</row>
    <row r="79" spans="1:15" x14ac:dyDescent="0.25">
      <c r="A79" s="11">
        <v>715</v>
      </c>
      <c r="B79" s="17">
        <v>9.0706294588700359E-3</v>
      </c>
      <c r="C79" s="18">
        <v>3.5112114034335624E-3</v>
      </c>
      <c r="D79" s="43">
        <v>0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</row>
    <row r="80" spans="1:15" x14ac:dyDescent="0.25">
      <c r="A80" s="11">
        <v>720</v>
      </c>
      <c r="B80" s="17">
        <v>5.8313648209965246E-3</v>
      </c>
      <c r="C80" s="18">
        <v>2.120496298544191E-3</v>
      </c>
      <c r="D80" s="43">
        <v>0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</row>
    <row r="81" spans="1:15" x14ac:dyDescent="0.25">
      <c r="A81" s="12">
        <v>725</v>
      </c>
      <c r="B81" s="19">
        <v>4.2405623015732549E-3</v>
      </c>
      <c r="C81" s="20">
        <v>1.6962249206293018E-3</v>
      </c>
      <c r="D81" s="44">
        <v>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</row>
    <row r="82" spans="1:15" x14ac:dyDescent="0.25">
      <c r="A82" s="11">
        <v>730</v>
      </c>
      <c r="B82" s="17">
        <v>3.0077656507353679E-3</v>
      </c>
      <c r="C82" s="18">
        <v>1.2031062602941474E-3</v>
      </c>
      <c r="D82" s="43">
        <v>0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</row>
    <row r="83" spans="1:15" x14ac:dyDescent="0.25">
      <c r="A83" s="11">
        <v>735</v>
      </c>
      <c r="B83" s="17">
        <v>2.1837497392678097E-3</v>
      </c>
      <c r="C83" s="18">
        <v>9.3589274540048994E-4</v>
      </c>
      <c r="D83" s="43">
        <v>0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</row>
    <row r="84" spans="1:15" x14ac:dyDescent="0.25">
      <c r="A84" s="11">
        <v>740</v>
      </c>
      <c r="B84" s="17">
        <v>1.6157596593006161E-3</v>
      </c>
      <c r="C84" s="18">
        <v>6.4630386372024646E-4</v>
      </c>
      <c r="D84" s="43">
        <v>0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</row>
    <row r="85" spans="1:15" x14ac:dyDescent="0.25">
      <c r="A85" s="11">
        <v>745</v>
      </c>
      <c r="B85" s="17">
        <v>1.1927791679311073E-3</v>
      </c>
      <c r="C85" s="18">
        <v>2.9819479198277683E-4</v>
      </c>
      <c r="D85" s="43">
        <v>0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</row>
    <row r="86" spans="1:15" x14ac:dyDescent="0.25">
      <c r="A86" s="11">
        <v>750</v>
      </c>
      <c r="B86" s="17">
        <v>8.2100384286167124E-4</v>
      </c>
      <c r="C86" s="18">
        <v>2.7366794762055706E-4</v>
      </c>
      <c r="D86" s="43">
        <v>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</row>
    <row r="87" spans="1:15" x14ac:dyDescent="0.25">
      <c r="A87" s="11">
        <v>755</v>
      </c>
      <c r="B87" s="17">
        <v>4.733250666393283E-4</v>
      </c>
      <c r="C87" s="18">
        <v>2.3666253331966415E-4</v>
      </c>
      <c r="D87" s="43">
        <v>0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</row>
    <row r="88" spans="1:15" x14ac:dyDescent="0.25">
      <c r="A88" s="11">
        <v>760</v>
      </c>
      <c r="B88" s="17">
        <v>1.9965711901877121E-4</v>
      </c>
      <c r="C88" s="18">
        <v>0</v>
      </c>
      <c r="D88" s="43">
        <v>0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</row>
    <row r="89" spans="1:15" x14ac:dyDescent="0.25">
      <c r="A89" s="11">
        <v>765</v>
      </c>
      <c r="B89" s="17">
        <v>2.4354726156169073E-4</v>
      </c>
      <c r="C89" s="18">
        <v>0</v>
      </c>
      <c r="D89" s="43">
        <v>0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</row>
    <row r="90" spans="1:15" x14ac:dyDescent="0.25">
      <c r="A90" s="11">
        <v>770</v>
      </c>
      <c r="B90" s="17">
        <v>2.8743740410461027E-4</v>
      </c>
      <c r="C90" s="18">
        <v>0</v>
      </c>
      <c r="D90" s="43">
        <v>0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</row>
    <row r="91" spans="1:15" x14ac:dyDescent="0.25">
      <c r="A91" s="12">
        <v>775</v>
      </c>
      <c r="B91" s="19">
        <v>0</v>
      </c>
      <c r="C91" s="20">
        <v>0</v>
      </c>
      <c r="D91" s="44">
        <v>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</row>
    <row r="92" spans="1:15" ht="15.75" thickBot="1" x14ac:dyDescent="0.3">
      <c r="A92" s="13">
        <v>780</v>
      </c>
      <c r="B92" s="21">
        <v>0</v>
      </c>
      <c r="C92" s="22">
        <v>0</v>
      </c>
      <c r="D92" s="45">
        <v>0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</row>
    <row r="93" spans="1:15" ht="15.75" thickBot="1" x14ac:dyDescent="0.3">
      <c r="A93" s="35"/>
      <c r="B93" s="36"/>
      <c r="C93" s="29" t="s">
        <v>25</v>
      </c>
      <c r="D93" s="14" t="s">
        <v>6</v>
      </c>
      <c r="E93" s="28">
        <f t="shared" ref="E93:O93" si="0">SUMPRODUCT($B12:$B92,E12:E92)/100</f>
        <v>0</v>
      </c>
      <c r="F93" s="28">
        <f t="shared" si="0"/>
        <v>0</v>
      </c>
      <c r="G93" s="28">
        <f t="shared" si="0"/>
        <v>0</v>
      </c>
      <c r="H93" s="28">
        <f t="shared" si="0"/>
        <v>0</v>
      </c>
      <c r="I93" s="28">
        <f t="shared" si="0"/>
        <v>0</v>
      </c>
      <c r="J93" s="28">
        <f t="shared" si="0"/>
        <v>0</v>
      </c>
      <c r="K93" s="28">
        <f t="shared" si="0"/>
        <v>0</v>
      </c>
      <c r="L93" s="28">
        <f t="shared" si="0"/>
        <v>0</v>
      </c>
      <c r="M93" s="28">
        <f t="shared" si="0"/>
        <v>0</v>
      </c>
      <c r="N93" s="28">
        <f t="shared" si="0"/>
        <v>0</v>
      </c>
      <c r="O93" s="28">
        <f t="shared" si="0"/>
        <v>0</v>
      </c>
    </row>
    <row r="94" spans="1:15" x14ac:dyDescent="0.25">
      <c r="A94" s="35"/>
      <c r="B94" s="36"/>
      <c r="C94" s="31"/>
      <c r="D94" s="15" t="s">
        <v>7</v>
      </c>
      <c r="E94" s="26">
        <f t="shared" ref="E94:O94" si="1">SUMPRODUCT($C12:$C92,E12:E92)/100</f>
        <v>0</v>
      </c>
      <c r="F94" s="26">
        <f t="shared" si="1"/>
        <v>0</v>
      </c>
      <c r="G94" s="26">
        <f t="shared" si="1"/>
        <v>0</v>
      </c>
      <c r="H94" s="26">
        <f t="shared" si="1"/>
        <v>0</v>
      </c>
      <c r="I94" s="26">
        <f t="shared" si="1"/>
        <v>0</v>
      </c>
      <c r="J94" s="26">
        <f t="shared" si="1"/>
        <v>0</v>
      </c>
      <c r="K94" s="26">
        <f t="shared" si="1"/>
        <v>0</v>
      </c>
      <c r="L94" s="26">
        <f t="shared" si="1"/>
        <v>0</v>
      </c>
      <c r="M94" s="26">
        <f t="shared" si="1"/>
        <v>0</v>
      </c>
      <c r="N94" s="26">
        <f t="shared" si="1"/>
        <v>0</v>
      </c>
      <c r="O94" s="26">
        <f t="shared" si="1"/>
        <v>0</v>
      </c>
    </row>
    <row r="95" spans="1:15" ht="15.75" thickBot="1" x14ac:dyDescent="0.3">
      <c r="A95" s="35"/>
      <c r="B95" s="36"/>
      <c r="C95" s="31"/>
      <c r="D95" s="16" t="s">
        <v>8</v>
      </c>
      <c r="E95" s="27">
        <f t="shared" ref="E95:O95" si="2">SUMPRODUCT($D12:$D92,E12:E92)/100</f>
        <v>0</v>
      </c>
      <c r="F95" s="27">
        <f t="shared" si="2"/>
        <v>0</v>
      </c>
      <c r="G95" s="27">
        <f t="shared" si="2"/>
        <v>0</v>
      </c>
      <c r="H95" s="27">
        <f t="shared" si="2"/>
        <v>0</v>
      </c>
      <c r="I95" s="27">
        <f t="shared" si="2"/>
        <v>0</v>
      </c>
      <c r="J95" s="27">
        <f t="shared" si="2"/>
        <v>0</v>
      </c>
      <c r="K95" s="27">
        <f t="shared" si="2"/>
        <v>0</v>
      </c>
      <c r="L95" s="27">
        <f t="shared" si="2"/>
        <v>0</v>
      </c>
      <c r="M95" s="27">
        <f t="shared" si="2"/>
        <v>0</v>
      </c>
      <c r="N95" s="27">
        <f t="shared" si="2"/>
        <v>0</v>
      </c>
      <c r="O95" s="27">
        <f t="shared" si="2"/>
        <v>0</v>
      </c>
    </row>
    <row r="96" spans="1:15" ht="15.75" thickBot="1" x14ac:dyDescent="0.3">
      <c r="A96" s="35"/>
      <c r="B96" s="36"/>
      <c r="C96" s="29" t="s">
        <v>24</v>
      </c>
      <c r="D96" s="14" t="s">
        <v>16</v>
      </c>
      <c r="E96" s="23">
        <f t="shared" ref="E96:O96" si="3">IF((E93/94.825)&gt;0.008856,(E93/94.825)^(1/3),(903.3*(E93/94.825)-16)/116)</f>
        <v>-0.13793103448275862</v>
      </c>
      <c r="F96" s="23">
        <f t="shared" si="3"/>
        <v>-0.13793103448275862</v>
      </c>
      <c r="G96" s="23">
        <f t="shared" si="3"/>
        <v>-0.13793103448275862</v>
      </c>
      <c r="H96" s="23">
        <f t="shared" si="3"/>
        <v>-0.13793103448275862</v>
      </c>
      <c r="I96" s="23">
        <f t="shared" si="3"/>
        <v>-0.13793103448275862</v>
      </c>
      <c r="J96" s="23">
        <f t="shared" si="3"/>
        <v>-0.13793103448275862</v>
      </c>
      <c r="K96" s="23">
        <f t="shared" si="3"/>
        <v>-0.13793103448275862</v>
      </c>
      <c r="L96" s="23">
        <f t="shared" si="3"/>
        <v>-0.13793103448275862</v>
      </c>
      <c r="M96" s="23">
        <f t="shared" si="3"/>
        <v>-0.13793103448275862</v>
      </c>
      <c r="N96" s="23">
        <f t="shared" si="3"/>
        <v>-0.13793103448275862</v>
      </c>
      <c r="O96" s="23">
        <f t="shared" si="3"/>
        <v>-0.13793103448275862</v>
      </c>
    </row>
    <row r="97" spans="1:15" x14ac:dyDescent="0.25">
      <c r="A97" s="35"/>
      <c r="B97" s="36"/>
      <c r="C97" s="31"/>
      <c r="D97" s="15" t="s">
        <v>17</v>
      </c>
      <c r="E97" s="24">
        <f t="shared" ref="E97:O97" si="4">IF((E94/100)&gt;0.008856,(E94/100)^(1/3),(903.3*(E94/100)-16)/116)</f>
        <v>-0.13793103448275862</v>
      </c>
      <c r="F97" s="24">
        <f t="shared" si="4"/>
        <v>-0.13793103448275862</v>
      </c>
      <c r="G97" s="24">
        <f t="shared" si="4"/>
        <v>-0.13793103448275862</v>
      </c>
      <c r="H97" s="24">
        <f t="shared" si="4"/>
        <v>-0.13793103448275862</v>
      </c>
      <c r="I97" s="24">
        <f t="shared" si="4"/>
        <v>-0.13793103448275862</v>
      </c>
      <c r="J97" s="24">
        <f t="shared" si="4"/>
        <v>-0.13793103448275862</v>
      </c>
      <c r="K97" s="24">
        <f t="shared" si="4"/>
        <v>-0.13793103448275862</v>
      </c>
      <c r="L97" s="24">
        <f t="shared" si="4"/>
        <v>-0.13793103448275862</v>
      </c>
      <c r="M97" s="24">
        <f t="shared" si="4"/>
        <v>-0.13793103448275862</v>
      </c>
      <c r="N97" s="24">
        <f t="shared" si="4"/>
        <v>-0.13793103448275862</v>
      </c>
      <c r="O97" s="24">
        <f t="shared" si="4"/>
        <v>-0.13793103448275862</v>
      </c>
    </row>
    <row r="98" spans="1:15" ht="15.75" thickBot="1" x14ac:dyDescent="0.3">
      <c r="A98" s="35"/>
      <c r="B98" s="36"/>
      <c r="C98" s="31"/>
      <c r="D98" s="16" t="s">
        <v>18</v>
      </c>
      <c r="E98" s="25">
        <f t="shared" ref="E98:O98" si="5">IF((E95/107.381)&gt;0.008856,(E95/107.381)^(1/3),(903.3*(E95/107.381)-16)/116)</f>
        <v>-0.13793103448275862</v>
      </c>
      <c r="F98" s="25">
        <f t="shared" si="5"/>
        <v>-0.13793103448275862</v>
      </c>
      <c r="G98" s="25">
        <f t="shared" si="5"/>
        <v>-0.13793103448275862</v>
      </c>
      <c r="H98" s="25">
        <f t="shared" si="5"/>
        <v>-0.13793103448275862</v>
      </c>
      <c r="I98" s="25">
        <f t="shared" si="5"/>
        <v>-0.13793103448275862</v>
      </c>
      <c r="J98" s="25">
        <f t="shared" si="5"/>
        <v>-0.13793103448275862</v>
      </c>
      <c r="K98" s="25">
        <f t="shared" si="5"/>
        <v>-0.13793103448275862</v>
      </c>
      <c r="L98" s="25">
        <f t="shared" si="5"/>
        <v>-0.13793103448275862</v>
      </c>
      <c r="M98" s="25">
        <f t="shared" si="5"/>
        <v>-0.13793103448275862</v>
      </c>
      <c r="N98" s="25">
        <f t="shared" si="5"/>
        <v>-0.13793103448275862</v>
      </c>
      <c r="O98" s="25">
        <f t="shared" si="5"/>
        <v>-0.13793103448275862</v>
      </c>
    </row>
    <row r="99" spans="1:15" x14ac:dyDescent="0.25">
      <c r="A99" s="35"/>
      <c r="B99" s="36"/>
      <c r="C99" s="31"/>
      <c r="D99" s="15" t="s">
        <v>1</v>
      </c>
      <c r="E99" s="26">
        <f t="shared" ref="E99:O99" si="6">116*E97-16</f>
        <v>-32</v>
      </c>
      <c r="F99" s="26">
        <f t="shared" si="6"/>
        <v>-32</v>
      </c>
      <c r="G99" s="26">
        <f t="shared" si="6"/>
        <v>-32</v>
      </c>
      <c r="H99" s="26">
        <f t="shared" si="6"/>
        <v>-32</v>
      </c>
      <c r="I99" s="26">
        <f t="shared" si="6"/>
        <v>-32</v>
      </c>
      <c r="J99" s="26">
        <f t="shared" si="6"/>
        <v>-32</v>
      </c>
      <c r="K99" s="26">
        <f t="shared" si="6"/>
        <v>-32</v>
      </c>
      <c r="L99" s="26">
        <f t="shared" si="6"/>
        <v>-32</v>
      </c>
      <c r="M99" s="26">
        <f t="shared" si="6"/>
        <v>-32</v>
      </c>
      <c r="N99" s="26">
        <f t="shared" si="6"/>
        <v>-32</v>
      </c>
      <c r="O99" s="26">
        <f t="shared" si="6"/>
        <v>-32</v>
      </c>
    </row>
    <row r="100" spans="1:15" x14ac:dyDescent="0.25">
      <c r="A100" s="35"/>
      <c r="B100" s="36"/>
      <c r="C100" s="31"/>
      <c r="D100" s="15" t="s">
        <v>2</v>
      </c>
      <c r="E100" s="26">
        <f t="shared" ref="E100:O100" si="7">500*(E96-E97)</f>
        <v>0</v>
      </c>
      <c r="F100" s="26">
        <f t="shared" si="7"/>
        <v>0</v>
      </c>
      <c r="G100" s="26">
        <f t="shared" si="7"/>
        <v>0</v>
      </c>
      <c r="H100" s="26">
        <f t="shared" si="7"/>
        <v>0</v>
      </c>
      <c r="I100" s="26">
        <f t="shared" si="7"/>
        <v>0</v>
      </c>
      <c r="J100" s="26">
        <f t="shared" si="7"/>
        <v>0</v>
      </c>
      <c r="K100" s="26">
        <f t="shared" si="7"/>
        <v>0</v>
      </c>
      <c r="L100" s="26">
        <f t="shared" si="7"/>
        <v>0</v>
      </c>
      <c r="M100" s="26">
        <f t="shared" si="7"/>
        <v>0</v>
      </c>
      <c r="N100" s="26">
        <f t="shared" si="7"/>
        <v>0</v>
      </c>
      <c r="O100" s="26">
        <f t="shared" si="7"/>
        <v>0</v>
      </c>
    </row>
    <row r="101" spans="1:15" ht="15.75" thickBot="1" x14ac:dyDescent="0.3">
      <c r="A101" s="35"/>
      <c r="B101" s="36"/>
      <c r="C101" s="31"/>
      <c r="D101" s="16" t="s">
        <v>3</v>
      </c>
      <c r="E101" s="27">
        <f t="shared" ref="E101:O101" si="8">200*(E97-E98)</f>
        <v>0</v>
      </c>
      <c r="F101" s="27">
        <f t="shared" si="8"/>
        <v>0</v>
      </c>
      <c r="G101" s="27">
        <f t="shared" si="8"/>
        <v>0</v>
      </c>
      <c r="H101" s="27">
        <f t="shared" si="8"/>
        <v>0</v>
      </c>
      <c r="I101" s="27">
        <f t="shared" si="8"/>
        <v>0</v>
      </c>
      <c r="J101" s="27">
        <f t="shared" si="8"/>
        <v>0</v>
      </c>
      <c r="K101" s="27">
        <f t="shared" si="8"/>
        <v>0</v>
      </c>
      <c r="L101" s="27">
        <f t="shared" si="8"/>
        <v>0</v>
      </c>
      <c r="M101" s="27">
        <f t="shared" si="8"/>
        <v>0</v>
      </c>
      <c r="N101" s="27">
        <f t="shared" si="8"/>
        <v>0</v>
      </c>
      <c r="O101" s="27">
        <f t="shared" si="8"/>
        <v>0</v>
      </c>
    </row>
    <row r="102" spans="1:15" ht="15.75" thickBot="1" x14ac:dyDescent="0.3">
      <c r="A102" s="35"/>
      <c r="B102" s="36"/>
      <c r="C102" s="29" t="s">
        <v>23</v>
      </c>
      <c r="D102" s="14" t="s">
        <v>1</v>
      </c>
      <c r="E102" s="28">
        <f t="shared" ref="E102:O102" si="9">116*E97-16</f>
        <v>-32</v>
      </c>
      <c r="F102" s="28">
        <f t="shared" si="9"/>
        <v>-32</v>
      </c>
      <c r="G102" s="28">
        <f t="shared" si="9"/>
        <v>-32</v>
      </c>
      <c r="H102" s="28">
        <f t="shared" si="9"/>
        <v>-32</v>
      </c>
      <c r="I102" s="28">
        <f t="shared" si="9"/>
        <v>-32</v>
      </c>
      <c r="J102" s="28">
        <f t="shared" si="9"/>
        <v>-32</v>
      </c>
      <c r="K102" s="28">
        <f t="shared" si="9"/>
        <v>-32</v>
      </c>
      <c r="L102" s="28">
        <f t="shared" si="9"/>
        <v>-32</v>
      </c>
      <c r="M102" s="28">
        <f t="shared" si="9"/>
        <v>-32</v>
      </c>
      <c r="N102" s="28">
        <f t="shared" si="9"/>
        <v>-32</v>
      </c>
      <c r="O102" s="28">
        <f t="shared" si="9"/>
        <v>-32</v>
      </c>
    </row>
    <row r="103" spans="1:15" x14ac:dyDescent="0.25">
      <c r="A103" s="37"/>
      <c r="B103" s="31"/>
      <c r="C103" s="31"/>
      <c r="D103" s="15" t="s">
        <v>5</v>
      </c>
      <c r="E103" s="26">
        <f t="shared" ref="E103:O103" si="10">SQRT(E100^2+E101^2)</f>
        <v>0</v>
      </c>
      <c r="F103" s="26">
        <f t="shared" si="10"/>
        <v>0</v>
      </c>
      <c r="G103" s="26">
        <f t="shared" si="10"/>
        <v>0</v>
      </c>
      <c r="H103" s="26">
        <f t="shared" si="10"/>
        <v>0</v>
      </c>
      <c r="I103" s="26">
        <f t="shared" si="10"/>
        <v>0</v>
      </c>
      <c r="J103" s="26">
        <f t="shared" si="10"/>
        <v>0</v>
      </c>
      <c r="K103" s="26">
        <f t="shared" si="10"/>
        <v>0</v>
      </c>
      <c r="L103" s="26">
        <f t="shared" si="10"/>
        <v>0</v>
      </c>
      <c r="M103" s="26">
        <f t="shared" si="10"/>
        <v>0</v>
      </c>
      <c r="N103" s="26">
        <f t="shared" si="10"/>
        <v>0</v>
      </c>
      <c r="O103" s="26">
        <f t="shared" si="10"/>
        <v>0</v>
      </c>
    </row>
    <row r="104" spans="1:15" ht="15.75" thickBot="1" x14ac:dyDescent="0.3">
      <c r="A104" s="37"/>
      <c r="B104" s="31"/>
      <c r="C104" s="31"/>
      <c r="D104" s="16" t="s">
        <v>4</v>
      </c>
      <c r="E104" s="27" t="e">
        <f t="shared" ref="E104:O104" si="11">IF(E100&gt;0,  IF(ATAN(E101/E100)&gt;0, ATAN(E101/E100)*180/PI(), 360+ATAN(E101/E100)*180/PI()), ATAN(E101/E100)*180/PI()+180)</f>
        <v>#DIV/0!</v>
      </c>
      <c r="F104" s="27" t="e">
        <f t="shared" si="11"/>
        <v>#DIV/0!</v>
      </c>
      <c r="G104" s="27" t="e">
        <f t="shared" si="11"/>
        <v>#DIV/0!</v>
      </c>
      <c r="H104" s="27" t="e">
        <f t="shared" si="11"/>
        <v>#DIV/0!</v>
      </c>
      <c r="I104" s="27" t="e">
        <f t="shared" si="11"/>
        <v>#DIV/0!</v>
      </c>
      <c r="J104" s="27" t="e">
        <f t="shared" si="11"/>
        <v>#DIV/0!</v>
      </c>
      <c r="K104" s="27" t="e">
        <f t="shared" si="11"/>
        <v>#DIV/0!</v>
      </c>
      <c r="L104" s="27" t="e">
        <f t="shared" si="11"/>
        <v>#DIV/0!</v>
      </c>
      <c r="M104" s="27" t="e">
        <f t="shared" si="11"/>
        <v>#DIV/0!</v>
      </c>
      <c r="N104" s="27" t="e">
        <f t="shared" si="11"/>
        <v>#DIV/0!</v>
      </c>
      <c r="O104" s="27" t="e">
        <f t="shared" si="11"/>
        <v>#DIV/0!</v>
      </c>
    </row>
    <row r="105" spans="1:15" ht="15.75" thickBot="1" x14ac:dyDescent="0.3">
      <c r="A105" s="37"/>
      <c r="B105" s="31"/>
      <c r="C105" s="29" t="s">
        <v>22</v>
      </c>
      <c r="D105" s="15" t="s">
        <v>19</v>
      </c>
      <c r="E105" s="24">
        <f t="shared" ref="E105:O105" si="12">(E$93*3.2406+E$94*-1.5372+E$95*-0.4986)*0.01</f>
        <v>0</v>
      </c>
      <c r="F105" s="24">
        <f t="shared" si="12"/>
        <v>0</v>
      </c>
      <c r="G105" s="24">
        <f t="shared" si="12"/>
        <v>0</v>
      </c>
      <c r="H105" s="24">
        <f t="shared" si="12"/>
        <v>0</v>
      </c>
      <c r="I105" s="24">
        <f t="shared" si="12"/>
        <v>0</v>
      </c>
      <c r="J105" s="24">
        <f t="shared" si="12"/>
        <v>0</v>
      </c>
      <c r="K105" s="24">
        <f t="shared" si="12"/>
        <v>0</v>
      </c>
      <c r="L105" s="24">
        <f t="shared" si="12"/>
        <v>0</v>
      </c>
      <c r="M105" s="24">
        <f t="shared" si="12"/>
        <v>0</v>
      </c>
      <c r="N105" s="24">
        <f t="shared" si="12"/>
        <v>0</v>
      </c>
      <c r="O105" s="24">
        <f t="shared" si="12"/>
        <v>0</v>
      </c>
    </row>
    <row r="106" spans="1:15" x14ac:dyDescent="0.25">
      <c r="A106" s="37"/>
      <c r="B106" s="31"/>
      <c r="C106" s="31"/>
      <c r="D106" s="15" t="s">
        <v>20</v>
      </c>
      <c r="E106" s="24">
        <f t="shared" ref="E106:O106" si="13">(E$93*-0.9689+E$94*1.8758+E$95*0.0415)*0.01</f>
        <v>0</v>
      </c>
      <c r="F106" s="24">
        <f t="shared" si="13"/>
        <v>0</v>
      </c>
      <c r="G106" s="24">
        <f t="shared" si="13"/>
        <v>0</v>
      </c>
      <c r="H106" s="24">
        <f t="shared" si="13"/>
        <v>0</v>
      </c>
      <c r="I106" s="24">
        <f t="shared" si="13"/>
        <v>0</v>
      </c>
      <c r="J106" s="24">
        <f t="shared" si="13"/>
        <v>0</v>
      </c>
      <c r="K106" s="24">
        <f t="shared" si="13"/>
        <v>0</v>
      </c>
      <c r="L106" s="24">
        <f t="shared" si="13"/>
        <v>0</v>
      </c>
      <c r="M106" s="24">
        <f t="shared" si="13"/>
        <v>0</v>
      </c>
      <c r="N106" s="24">
        <f t="shared" si="13"/>
        <v>0</v>
      </c>
      <c r="O106" s="24">
        <f t="shared" si="13"/>
        <v>0</v>
      </c>
    </row>
    <row r="107" spans="1:15" ht="15.75" thickBot="1" x14ac:dyDescent="0.3">
      <c r="A107" s="37"/>
      <c r="B107" s="31"/>
      <c r="C107" s="31"/>
      <c r="D107" s="16" t="s">
        <v>21</v>
      </c>
      <c r="E107" s="25">
        <f t="shared" ref="E107:O107" si="14">(E$93*0.0557+E$94*-0.204+E$95*1.057)*0.01</f>
        <v>0</v>
      </c>
      <c r="F107" s="25">
        <f t="shared" si="14"/>
        <v>0</v>
      </c>
      <c r="G107" s="25">
        <f t="shared" si="14"/>
        <v>0</v>
      </c>
      <c r="H107" s="25">
        <f t="shared" si="14"/>
        <v>0</v>
      </c>
      <c r="I107" s="25">
        <f t="shared" si="14"/>
        <v>0</v>
      </c>
      <c r="J107" s="25">
        <f t="shared" si="14"/>
        <v>0</v>
      </c>
      <c r="K107" s="25">
        <f t="shared" si="14"/>
        <v>0</v>
      </c>
      <c r="L107" s="25">
        <f t="shared" si="14"/>
        <v>0</v>
      </c>
      <c r="M107" s="25">
        <f t="shared" si="14"/>
        <v>0</v>
      </c>
      <c r="N107" s="25">
        <f t="shared" si="14"/>
        <v>0</v>
      </c>
      <c r="O107" s="25">
        <f t="shared" si="14"/>
        <v>0</v>
      </c>
    </row>
    <row r="108" spans="1:15" x14ac:dyDescent="0.25">
      <c r="A108" s="37"/>
      <c r="B108" s="31"/>
      <c r="C108" s="31"/>
      <c r="D108" s="15" t="s">
        <v>9</v>
      </c>
      <c r="E108" s="28">
        <f t="shared" ref="E108:O108" si="15">IF((E105&gt;0.0031308),(269.025*(E105^(1/2.4))-14.025),(3294.6*E105))</f>
        <v>0</v>
      </c>
      <c r="F108" s="28">
        <f t="shared" si="15"/>
        <v>0</v>
      </c>
      <c r="G108" s="28">
        <f t="shared" si="15"/>
        <v>0</v>
      </c>
      <c r="H108" s="28">
        <f t="shared" si="15"/>
        <v>0</v>
      </c>
      <c r="I108" s="28">
        <f t="shared" si="15"/>
        <v>0</v>
      </c>
      <c r="J108" s="28">
        <f t="shared" si="15"/>
        <v>0</v>
      </c>
      <c r="K108" s="28">
        <f t="shared" si="15"/>
        <v>0</v>
      </c>
      <c r="L108" s="28">
        <f t="shared" si="15"/>
        <v>0</v>
      </c>
      <c r="M108" s="28">
        <f t="shared" si="15"/>
        <v>0</v>
      </c>
      <c r="N108" s="28">
        <f t="shared" si="15"/>
        <v>0</v>
      </c>
      <c r="O108" s="28">
        <f t="shared" si="15"/>
        <v>0</v>
      </c>
    </row>
    <row r="109" spans="1:15" x14ac:dyDescent="0.25">
      <c r="A109" s="37"/>
      <c r="B109" s="31"/>
      <c r="C109" s="31"/>
      <c r="D109" s="15" t="s">
        <v>10</v>
      </c>
      <c r="E109" s="26">
        <f t="shared" ref="E109:O109" si="16">IF((E106&gt;0.0031308),(269.025*(E106^(1/2.4))-14.025),(3294.6*E106))</f>
        <v>0</v>
      </c>
      <c r="F109" s="26">
        <f t="shared" si="16"/>
        <v>0</v>
      </c>
      <c r="G109" s="26">
        <f t="shared" si="16"/>
        <v>0</v>
      </c>
      <c r="H109" s="26">
        <f t="shared" si="16"/>
        <v>0</v>
      </c>
      <c r="I109" s="26">
        <f t="shared" si="16"/>
        <v>0</v>
      </c>
      <c r="J109" s="26">
        <f t="shared" si="16"/>
        <v>0</v>
      </c>
      <c r="K109" s="26">
        <f t="shared" si="16"/>
        <v>0</v>
      </c>
      <c r="L109" s="26">
        <f t="shared" si="16"/>
        <v>0</v>
      </c>
      <c r="M109" s="26">
        <f t="shared" si="16"/>
        <v>0</v>
      </c>
      <c r="N109" s="26">
        <f t="shared" si="16"/>
        <v>0</v>
      </c>
      <c r="O109" s="26">
        <f t="shared" si="16"/>
        <v>0</v>
      </c>
    </row>
    <row r="110" spans="1:15" ht="15.75" thickBot="1" x14ac:dyDescent="0.3">
      <c r="A110" s="37"/>
      <c r="B110" s="31"/>
      <c r="C110" s="31"/>
      <c r="D110" s="16" t="s">
        <v>11</v>
      </c>
      <c r="E110" s="27">
        <f t="shared" ref="E110:O110" si="17">IF((E107&gt;0.0031308),(269.025*(E107^(1/2.4))-14.025),(3294.6*E107))</f>
        <v>0</v>
      </c>
      <c r="F110" s="27">
        <f t="shared" si="17"/>
        <v>0</v>
      </c>
      <c r="G110" s="27">
        <f t="shared" si="17"/>
        <v>0</v>
      </c>
      <c r="H110" s="27">
        <f t="shared" si="17"/>
        <v>0</v>
      </c>
      <c r="I110" s="27">
        <f t="shared" si="17"/>
        <v>0</v>
      </c>
      <c r="J110" s="27">
        <f t="shared" si="17"/>
        <v>0</v>
      </c>
      <c r="K110" s="27">
        <f t="shared" si="17"/>
        <v>0</v>
      </c>
      <c r="L110" s="27">
        <f t="shared" si="17"/>
        <v>0</v>
      </c>
      <c r="M110" s="27">
        <f t="shared" si="17"/>
        <v>0</v>
      </c>
      <c r="N110" s="27">
        <f t="shared" si="17"/>
        <v>0</v>
      </c>
      <c r="O110" s="27">
        <f t="shared" si="17"/>
        <v>0</v>
      </c>
    </row>
    <row r="111" spans="1:15" ht="15.75" thickBot="1" x14ac:dyDescent="0.3">
      <c r="A111" s="37"/>
      <c r="B111" s="31"/>
      <c r="C111" s="29" t="s">
        <v>26</v>
      </c>
      <c r="D111" s="29"/>
      <c r="E111" s="49" t="s">
        <v>12</v>
      </c>
      <c r="F111" s="49" t="s">
        <v>12</v>
      </c>
      <c r="G111" s="49" t="s">
        <v>12</v>
      </c>
      <c r="H111" s="49" t="s">
        <v>12</v>
      </c>
      <c r="I111" s="49" t="s">
        <v>12</v>
      </c>
      <c r="J111" s="49" t="s">
        <v>12</v>
      </c>
      <c r="K111" s="49" t="s">
        <v>12</v>
      </c>
      <c r="L111" s="49" t="s">
        <v>12</v>
      </c>
      <c r="M111" s="49" t="s">
        <v>12</v>
      </c>
      <c r="N111" s="49" t="s">
        <v>12</v>
      </c>
      <c r="O111" s="49" t="s">
        <v>12</v>
      </c>
    </row>
    <row r="112" spans="1:15" x14ac:dyDescent="0.25">
      <c r="A112" s="37"/>
      <c r="B112" s="31"/>
      <c r="C112" s="31"/>
      <c r="D112" s="32"/>
    </row>
    <row r="113" spans="1:5" x14ac:dyDescent="0.25">
      <c r="A113" s="37"/>
      <c r="B113" s="31"/>
      <c r="C113" s="31"/>
      <c r="D113" s="32"/>
    </row>
    <row r="114" spans="1:5" x14ac:dyDescent="0.25">
      <c r="A114" s="37"/>
      <c r="B114" s="31"/>
      <c r="C114" s="31"/>
      <c r="D114" s="32"/>
    </row>
    <row r="115" spans="1:5" x14ac:dyDescent="0.25">
      <c r="A115" s="37"/>
      <c r="B115" s="31"/>
      <c r="C115" s="31"/>
      <c r="D115" s="32"/>
    </row>
    <row r="116" spans="1:5" x14ac:dyDescent="0.25">
      <c r="A116" s="37"/>
      <c r="B116" s="31"/>
      <c r="C116" s="31"/>
      <c r="D116" s="32"/>
    </row>
    <row r="117" spans="1:5" x14ac:dyDescent="0.25">
      <c r="A117" s="37"/>
      <c r="B117" s="31"/>
      <c r="C117" s="31"/>
      <c r="D117" s="32"/>
    </row>
    <row r="118" spans="1:5" x14ac:dyDescent="0.25">
      <c r="A118" s="37"/>
      <c r="B118" s="31"/>
      <c r="C118" s="31"/>
      <c r="D118" s="32"/>
    </row>
    <row r="119" spans="1:5" x14ac:dyDescent="0.25">
      <c r="A119" s="37"/>
      <c r="B119" s="31"/>
      <c r="C119" s="31"/>
      <c r="D119" s="32"/>
    </row>
    <row r="120" spans="1:5" x14ac:dyDescent="0.25">
      <c r="A120" s="37"/>
      <c r="B120" s="31"/>
      <c r="C120" s="31"/>
      <c r="D120" s="32"/>
    </row>
    <row r="121" spans="1:5" x14ac:dyDescent="0.25">
      <c r="A121" s="37"/>
      <c r="B121" s="31"/>
      <c r="C121" s="31"/>
      <c r="D121" s="32"/>
    </row>
    <row r="122" spans="1:5" x14ac:dyDescent="0.25">
      <c r="A122" s="37"/>
      <c r="B122" s="31"/>
      <c r="C122" s="31"/>
      <c r="D122" s="32"/>
    </row>
    <row r="123" spans="1:5" x14ac:dyDescent="0.25">
      <c r="A123" s="37"/>
      <c r="B123" s="31"/>
      <c r="C123" s="31"/>
      <c r="D123" s="32"/>
    </row>
    <row r="124" spans="1:5" ht="15.75" thickBot="1" x14ac:dyDescent="0.3">
      <c r="A124" s="38"/>
      <c r="B124" s="33"/>
      <c r="C124" s="33"/>
      <c r="D124" s="34"/>
    </row>
    <row r="125" spans="1:5" x14ac:dyDescent="0.25">
      <c r="E125" s="2"/>
    </row>
  </sheetData>
  <sortState ref="A12:D92">
    <sortCondition ref="A12:A92"/>
  </sortState>
  <mergeCells count="3">
    <mergeCell ref="A3:D6"/>
    <mergeCell ref="A7:D9"/>
    <mergeCell ref="A1:D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Template 5nm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Manu-Poi</dc:creator>
  <cp:lastModifiedBy>Poi</cp:lastModifiedBy>
  <cp:lastPrinted>2017-02-14T15:39:49Z</cp:lastPrinted>
  <dcterms:created xsi:type="dcterms:W3CDTF">2017-01-31T22:01:08Z</dcterms:created>
  <dcterms:modified xsi:type="dcterms:W3CDTF">2017-06-18T21:23:52Z</dcterms:modified>
</cp:coreProperties>
</file>