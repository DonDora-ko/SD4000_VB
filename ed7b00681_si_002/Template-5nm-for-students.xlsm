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70" yWindow="15" windowWidth="20115" windowHeight="7875"/>
  </bookViews>
  <sheets>
    <sheet name="Template 5nm" sheetId="5" r:id="rId1"/>
    <sheet name="CIE Lab" sheetId="6" r:id="rId2"/>
    <sheet name="CIE LCH" sheetId="7" r:id="rId3"/>
    <sheet name="RGB" sheetId="8" r:id="rId4"/>
    <sheet name="Formulas" sheetId="10" r:id="rId5"/>
  </sheets>
  <calcPr calcId="145621"/>
</workbook>
</file>

<file path=xl/calcChain.xml><?xml version="1.0" encoding="utf-8"?>
<calcChain xmlns="http://schemas.openxmlformats.org/spreadsheetml/2006/main">
  <c r="E95" i="5" l="1"/>
  <c r="E98" i="5" s="1"/>
  <c r="E94" i="5"/>
  <c r="E97" i="5" s="1"/>
  <c r="E93" i="5"/>
  <c r="E96" i="5" s="1"/>
  <c r="E101" i="5" l="1"/>
  <c r="E100" i="5"/>
  <c r="E99" i="5"/>
  <c r="E105" i="5"/>
  <c r="E108" i="5" s="1"/>
  <c r="F30" i="8" s="1"/>
  <c r="H15" i="8" s="1"/>
  <c r="E102" i="5"/>
  <c r="E107" i="5"/>
  <c r="E110" i="5" s="1"/>
  <c r="F32" i="8" s="1"/>
  <c r="H21" i="8" s="1"/>
  <c r="E106" i="5"/>
  <c r="E109" i="5" s="1"/>
  <c r="F31" i="8" s="1"/>
  <c r="H18" i="8" s="1"/>
  <c r="H20" i="6" l="1"/>
  <c r="H23" i="7"/>
  <c r="H17" i="6"/>
  <c r="F30" i="6"/>
  <c r="F30" i="7"/>
  <c r="E104" i="5"/>
  <c r="G33" i="7" s="1"/>
  <c r="E103" i="5"/>
  <c r="H17" i="7" s="1"/>
  <c r="F31" i="7"/>
  <c r="F31" i="6"/>
  <c r="F32" i="7"/>
  <c r="F32" i="6"/>
  <c r="F33" i="7" l="1"/>
  <c r="H20" i="7"/>
</calcChain>
</file>

<file path=xl/sharedStrings.xml><?xml version="1.0" encoding="utf-8"?>
<sst xmlns="http://schemas.openxmlformats.org/spreadsheetml/2006/main" count="94" uniqueCount="54">
  <si>
    <t>%T</t>
  </si>
  <si>
    <t>L</t>
  </si>
  <si>
    <t>a</t>
  </si>
  <si>
    <t>b</t>
  </si>
  <si>
    <t>H</t>
  </si>
  <si>
    <t>C</t>
  </si>
  <si>
    <t>X</t>
  </si>
  <si>
    <t>Y</t>
  </si>
  <si>
    <t>Z</t>
  </si>
  <si>
    <t>R</t>
  </si>
  <si>
    <t>G</t>
  </si>
  <si>
    <t>B</t>
  </si>
  <si>
    <t>( COLOR )</t>
  </si>
  <si>
    <t xml:space="preserve">Xi </t>
  </si>
  <si>
    <t>Yi</t>
  </si>
  <si>
    <t>Zi</t>
  </si>
  <si>
    <t>f(X)</t>
  </si>
  <si>
    <t>f(Y)</t>
  </si>
  <si>
    <t>f(Z)</t>
  </si>
  <si>
    <t>RV</t>
  </si>
  <si>
    <t>GV</t>
  </si>
  <si>
    <t>BV</t>
  </si>
  <si>
    <t>RGB Space</t>
  </si>
  <si>
    <t>CIE LCH</t>
  </si>
  <si>
    <t>CIE Lab</t>
  </si>
  <si>
    <t>CIE XYZ</t>
  </si>
  <si>
    <t>COLOR</t>
  </si>
  <si>
    <t>Wavelength</t>
  </si>
  <si>
    <t>XYZ Matrix</t>
  </si>
  <si>
    <t>Sample</t>
  </si>
  <si>
    <t>RESULTS</t>
  </si>
  <si>
    <t>Graphic data</t>
  </si>
  <si>
    <t>Has the sample's spectrum been measured from 380nm to 780nm?</t>
  </si>
  <si>
    <t>Press the next buttons according to the experimental conditions</t>
  </si>
  <si>
    <t>=116*E97-16</t>
  </si>
  <si>
    <t>=500*(E96-E97)</t>
  </si>
  <si>
    <t>=200*(E97-E98)</t>
  </si>
  <si>
    <t>=(E$93*3,2406+E$94*-1,5372+E$95*-0,4986)*0,01</t>
  </si>
  <si>
    <t>=(E$93*-0,9689+E$94*1,8758+E$95*0,0415)*0,01</t>
  </si>
  <si>
    <t>=(E$93*0,0557+E$94*-0,204+E$95*1,057)*0,01</t>
  </si>
  <si>
    <t>=SUMPRODUCT($D12:$D92;E12:E92)/100</t>
  </si>
  <si>
    <t>=SUMPRODUCT($B12:$B92;E12:E92)/100</t>
  </si>
  <si>
    <t>=SUMPRODUCT($C12:$C92;E12:E92)/100</t>
  </si>
  <si>
    <t>=IF((E93/94,825)&gt;0,008856;(E93/94,825)^(1/3);(903,3*(E93/94,825)-16)/116)</t>
  </si>
  <si>
    <t>=IF((E94/100)&gt;0,008856;(E94/100)^(1/3);(903,3*(E94/100)-16)/116)</t>
  </si>
  <si>
    <t>=IF((E95/107,381)&gt;0,008856;(E95/107,381)^(1/3);(903,3*(E95/107,381)-16)/116)</t>
  </si>
  <si>
    <t>=SQRT(E100^2+E101^2)</t>
  </si>
  <si>
    <t>=IF(E100&gt;0;  IF(ATAN(E101/E100)&gt;0; ATAN(E101/E100)*180/PI(); 360+ATAN(E101/E100)*180/PI()); ATAN(E101/E100)*180/PI()+180)</t>
  </si>
  <si>
    <t>=IF((E105&gt;0,0031308);(269,025*(E105^(1/2,4))-14,025);(3294,6*E105))</t>
  </si>
  <si>
    <t>=IF((E106&gt;0,0031308);(269,025*(E106^(1/2,4))-14,025);(3294,6*E106))</t>
  </si>
  <si>
    <t>=IF((E107&gt;0,0031308);(269,025*(E107^(1/2,4))-14,025);(3294,6*E107))</t>
  </si>
  <si>
    <t>a*</t>
  </si>
  <si>
    <t>b*</t>
  </si>
  <si>
    <t>L*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</si>
</sst>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BBB44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4">
    <xf numFmtId="0" fontId="0" fillId="0" borderId="0" xfId="0"/>
    <xf numFmtId="1" fontId="0" fillId="0" borderId="0" xfId="0" applyNumberFormat="1"/>
    <xf numFmtId="0" fontId="0" fillId="0" borderId="0" xfId="0" applyFill="1"/>
    <xf numFmtId="1" fontId="16" fillId="34" borderId="18" xfId="0" applyNumberFormat="1" applyFont="1" applyFill="1" applyBorder="1"/>
    <xf numFmtId="0" fontId="16" fillId="34" borderId="11" xfId="0" applyFont="1" applyFill="1" applyBorder="1" applyAlignment="1">
      <alignment horizontal="center"/>
    </xf>
    <xf numFmtId="0" fontId="16" fillId="34" borderId="12" xfId="0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164" fontId="16" fillId="34" borderId="20" xfId="0" applyNumberFormat="1" applyFont="1" applyFill="1" applyBorder="1"/>
    <xf numFmtId="164" fontId="16" fillId="34" borderId="15" xfId="0" applyNumberFormat="1" applyFont="1" applyFill="1" applyBorder="1" applyAlignment="1">
      <alignment horizontal="center"/>
    </xf>
    <xf numFmtId="164" fontId="16" fillId="34" borderId="16" xfId="0" applyNumberFormat="1" applyFont="1" applyFill="1" applyBorder="1" applyAlignment="1">
      <alignment horizontal="center"/>
    </xf>
    <xf numFmtId="164" fontId="16" fillId="34" borderId="17" xfId="0" applyNumberFormat="1" applyFont="1" applyFill="1" applyBorder="1" applyAlignment="1">
      <alignment horizontal="center"/>
    </xf>
    <xf numFmtId="1" fontId="16" fillId="34" borderId="19" xfId="0" applyNumberFormat="1" applyFont="1" applyFill="1" applyBorder="1"/>
    <xf numFmtId="1" fontId="16" fillId="34" borderId="22" xfId="0" applyNumberFormat="1" applyFont="1" applyFill="1" applyBorder="1"/>
    <xf numFmtId="1" fontId="16" fillId="34" borderId="20" xfId="0" applyNumberFormat="1" applyFont="1" applyFill="1" applyBorder="1"/>
    <xf numFmtId="1" fontId="16" fillId="34" borderId="18" xfId="0" applyNumberFormat="1" applyFont="1" applyFill="1" applyBorder="1" applyAlignment="1">
      <alignment horizontal="center"/>
    </xf>
    <xf numFmtId="1" fontId="16" fillId="34" borderId="19" xfId="0" applyNumberFormat="1" applyFont="1" applyFill="1" applyBorder="1" applyAlignment="1">
      <alignment horizontal="center"/>
    </xf>
    <xf numFmtId="1" fontId="16" fillId="34" borderId="20" xfId="0" applyNumberFormat="1" applyFont="1" applyFill="1" applyBorder="1" applyAlignment="1">
      <alignment horizontal="center"/>
    </xf>
    <xf numFmtId="1" fontId="16" fillId="34" borderId="21" xfId="0" applyNumberFormat="1" applyFont="1" applyFill="1" applyBorder="1" applyAlignment="1">
      <alignment horizontal="center"/>
    </xf>
    <xf numFmtId="164" fontId="0" fillId="35" borderId="14" xfId="0" applyNumberFormat="1" applyFill="1" applyBorder="1"/>
    <xf numFmtId="164" fontId="0" fillId="35" borderId="0" xfId="0" applyNumberFormat="1" applyFill="1" applyBorder="1"/>
    <xf numFmtId="164" fontId="0" fillId="35" borderId="23" xfId="0" applyNumberFormat="1" applyFill="1" applyBorder="1"/>
    <xf numFmtId="164" fontId="0" fillId="35" borderId="24" xfId="0" applyNumberFormat="1" applyFill="1" applyBorder="1"/>
    <xf numFmtId="164" fontId="0" fillId="35" borderId="15" xfId="0" applyNumberFormat="1" applyFill="1" applyBorder="1"/>
    <xf numFmtId="164" fontId="0" fillId="35" borderId="16" xfId="0" applyNumberFormat="1" applyFill="1" applyBorder="1"/>
    <xf numFmtId="1" fontId="16" fillId="34" borderId="10" xfId="0" applyNumberFormat="1" applyFont="1" applyFill="1" applyBorder="1" applyAlignment="1">
      <alignment horizontal="center"/>
    </xf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0" xfId="0" applyFill="1" applyBorder="1"/>
    <xf numFmtId="0" fontId="0" fillId="33" borderId="25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164" fontId="0" fillId="33" borderId="14" xfId="0" applyNumberFormat="1" applyFill="1" applyBorder="1"/>
    <xf numFmtId="164" fontId="0" fillId="33" borderId="0" xfId="0" applyNumberFormat="1" applyFill="1" applyBorder="1"/>
    <xf numFmtId="1" fontId="0" fillId="33" borderId="14" xfId="0" applyNumberFormat="1" applyFill="1" applyBorder="1"/>
    <xf numFmtId="1" fontId="0" fillId="33" borderId="15" xfId="0" applyNumberFormat="1" applyFill="1" applyBorder="1"/>
    <xf numFmtId="0" fontId="16" fillId="33" borderId="0" xfId="0" applyFont="1" applyFill="1" applyBorder="1" applyAlignment="1">
      <alignment horizontal="center" vertical="center"/>
    </xf>
    <xf numFmtId="0" fontId="0" fillId="0" borderId="0" xfId="0" applyBorder="1"/>
    <xf numFmtId="1" fontId="0" fillId="33" borderId="0" xfId="0" applyNumberFormat="1" applyFill="1" applyBorder="1" applyAlignment="1">
      <alignment wrapText="1"/>
    </xf>
    <xf numFmtId="164" fontId="16" fillId="34" borderId="13" xfId="0" applyNumberFormat="1" applyFont="1" applyFill="1" applyBorder="1" applyAlignment="1">
      <alignment horizontal="center"/>
    </xf>
    <xf numFmtId="0" fontId="0" fillId="33" borderId="27" xfId="0" applyFill="1" applyBorder="1"/>
    <xf numFmtId="0" fontId="0" fillId="33" borderId="28" xfId="0" applyFill="1" applyBorder="1"/>
    <xf numFmtId="164" fontId="0" fillId="35" borderId="25" xfId="0" applyNumberFormat="1" applyFill="1" applyBorder="1"/>
    <xf numFmtId="164" fontId="0" fillId="35" borderId="27" xfId="0" applyNumberFormat="1" applyFill="1" applyBorder="1"/>
    <xf numFmtId="164" fontId="0" fillId="35" borderId="17" xfId="0" applyNumberFormat="1" applyFill="1" applyBorder="1"/>
    <xf numFmtId="164" fontId="0" fillId="36" borderId="17" xfId="0" applyNumberFormat="1" applyFill="1" applyBorder="1" applyAlignment="1">
      <alignment horizontal="center"/>
    </xf>
    <xf numFmtId="0" fontId="0" fillId="33" borderId="0" xfId="0" applyFill="1"/>
    <xf numFmtId="164" fontId="0" fillId="33" borderId="11" xfId="0" applyNumberFormat="1" applyFill="1" applyBorder="1"/>
    <xf numFmtId="164" fontId="0" fillId="33" borderId="12" xfId="0" applyNumberFormat="1" applyFill="1" applyBorder="1"/>
    <xf numFmtId="1" fontId="0" fillId="0" borderId="14" xfId="0" applyNumberFormat="1" applyFill="1" applyBorder="1"/>
    <xf numFmtId="0" fontId="0" fillId="0" borderId="0" xfId="0" applyFill="1" applyBorder="1"/>
    <xf numFmtId="0" fontId="18" fillId="0" borderId="0" xfId="0" applyFont="1" applyFill="1"/>
    <xf numFmtId="164" fontId="0" fillId="35" borderId="18" xfId="0" applyNumberFormat="1" applyFill="1" applyBorder="1" applyAlignment="1" applyProtection="1">
      <alignment horizontal="right"/>
    </xf>
    <xf numFmtId="164" fontId="0" fillId="35" borderId="19" xfId="0" applyNumberFormat="1" applyFill="1" applyBorder="1" applyAlignment="1" applyProtection="1">
      <alignment horizontal="right"/>
    </xf>
    <xf numFmtId="164" fontId="0" fillId="35" borderId="20" xfId="0" applyNumberFormat="1" applyFill="1" applyBorder="1" applyAlignment="1" applyProtection="1">
      <alignment horizontal="right"/>
    </xf>
    <xf numFmtId="164" fontId="0" fillId="34" borderId="13" xfId="0" applyNumberFormat="1" applyFill="1" applyBorder="1" applyAlignment="1" applyProtection="1">
      <alignment horizontal="right"/>
    </xf>
    <xf numFmtId="164" fontId="0" fillId="34" borderId="25" xfId="0" applyNumberFormat="1" applyFill="1" applyBorder="1" applyAlignment="1" applyProtection="1">
      <alignment horizontal="right"/>
    </xf>
    <xf numFmtId="164" fontId="0" fillId="34" borderId="17" xfId="0" applyNumberFormat="1" applyFill="1" applyBorder="1" applyAlignment="1" applyProtection="1">
      <alignment horizontal="right"/>
    </xf>
    <xf numFmtId="164" fontId="0" fillId="35" borderId="25" xfId="0" applyNumberFormat="1" applyFill="1" applyBorder="1" applyAlignment="1" applyProtection="1">
      <alignment horizontal="right"/>
    </xf>
    <xf numFmtId="164" fontId="0" fillId="35" borderId="17" xfId="0" applyNumberFormat="1" applyFill="1" applyBorder="1" applyAlignment="1" applyProtection="1">
      <alignment horizontal="right"/>
    </xf>
    <xf numFmtId="164" fontId="0" fillId="35" borderId="13" xfId="0" applyNumberFormat="1" applyFill="1" applyBorder="1" applyAlignment="1" applyProtection="1">
      <alignment horizontal="right"/>
    </xf>
    <xf numFmtId="0" fontId="17" fillId="0" borderId="0" xfId="0" applyFont="1" applyFill="1" applyBorder="1" applyProtection="1">
      <protection hidden="1"/>
    </xf>
    <xf numFmtId="0" fontId="17" fillId="0" borderId="0" xfId="0" applyFont="1" applyFill="1" applyBorder="1" applyAlignment="1" applyProtection="1">
      <alignment horizontal="center"/>
      <protection hidden="1"/>
    </xf>
    <xf numFmtId="164" fontId="0" fillId="36" borderId="10" xfId="0" applyNumberFormat="1" applyFill="1" applyBorder="1" applyAlignment="1" applyProtection="1">
      <alignment horizontal="center"/>
    </xf>
    <xf numFmtId="0" fontId="16" fillId="34" borderId="18" xfId="0" applyFont="1" applyFill="1" applyBorder="1" applyAlignment="1" applyProtection="1">
      <alignment horizontal="center"/>
    </xf>
    <xf numFmtId="164" fontId="16" fillId="34" borderId="18" xfId="0" applyNumberFormat="1" applyFont="1" applyFill="1" applyBorder="1" applyAlignment="1" applyProtection="1">
      <alignment horizontal="center"/>
    </xf>
    <xf numFmtId="0" fontId="0" fillId="33" borderId="18" xfId="0" applyFill="1" applyBorder="1" applyProtection="1">
      <protection locked="0"/>
    </xf>
    <xf numFmtId="0" fontId="0" fillId="33" borderId="19" xfId="0" applyFill="1" applyBorder="1" applyProtection="1">
      <protection locked="0"/>
    </xf>
    <xf numFmtId="0" fontId="0" fillId="33" borderId="22" xfId="0" applyFill="1" applyBorder="1" applyProtection="1">
      <protection locked="0"/>
    </xf>
    <xf numFmtId="0" fontId="0" fillId="33" borderId="26" xfId="0" applyFill="1" applyBorder="1" applyProtection="1">
      <protection locked="0"/>
    </xf>
    <xf numFmtId="0" fontId="0" fillId="33" borderId="20" xfId="0" applyFill="1" applyBorder="1" applyProtection="1">
      <protection locked="0"/>
    </xf>
    <xf numFmtId="1" fontId="16" fillId="35" borderId="11" xfId="0" applyNumberFormat="1" applyFont="1" applyFill="1" applyBorder="1" applyAlignment="1">
      <alignment horizontal="center" vertical="center" wrapText="1"/>
    </xf>
    <xf numFmtId="1" fontId="16" fillId="35" borderId="12" xfId="0" applyNumberFormat="1" applyFont="1" applyFill="1" applyBorder="1" applyAlignment="1">
      <alignment horizontal="center" vertical="center" wrapText="1"/>
    </xf>
    <xf numFmtId="1" fontId="16" fillId="35" borderId="13" xfId="0" applyNumberFormat="1" applyFont="1" applyFill="1" applyBorder="1" applyAlignment="1">
      <alignment horizontal="center" vertical="center" wrapText="1"/>
    </xf>
    <xf numFmtId="1" fontId="16" fillId="35" borderId="14" xfId="0" applyNumberFormat="1" applyFont="1" applyFill="1" applyBorder="1" applyAlignment="1">
      <alignment horizontal="center" vertical="center" wrapText="1"/>
    </xf>
    <xf numFmtId="1" fontId="16" fillId="35" borderId="0" xfId="0" applyNumberFormat="1" applyFont="1" applyFill="1" applyBorder="1" applyAlignment="1">
      <alignment horizontal="center" vertical="center" wrapText="1"/>
    </xf>
    <xf numFmtId="1" fontId="16" fillId="35" borderId="25" xfId="0" applyNumberFormat="1" applyFont="1" applyFill="1" applyBorder="1" applyAlignment="1">
      <alignment horizontal="center" vertical="center" wrapText="1"/>
    </xf>
    <xf numFmtId="1" fontId="16" fillId="35" borderId="15" xfId="0" applyNumberFormat="1" applyFont="1" applyFill="1" applyBorder="1" applyAlignment="1">
      <alignment horizontal="center" vertical="center" wrapText="1"/>
    </xf>
    <xf numFmtId="1" fontId="16" fillId="35" borderId="16" xfId="0" applyNumberFormat="1" applyFont="1" applyFill="1" applyBorder="1" applyAlignment="1">
      <alignment horizontal="center" vertical="center" wrapText="1"/>
    </xf>
    <xf numFmtId="1" fontId="16" fillId="35" borderId="17" xfId="0" applyNumberFormat="1" applyFont="1" applyFill="1" applyBorder="1" applyAlignment="1">
      <alignment horizontal="center" vertical="center" wrapText="1"/>
    </xf>
    <xf numFmtId="1" fontId="0" fillId="33" borderId="11" xfId="0" applyNumberFormat="1" applyFill="1" applyBorder="1" applyAlignment="1">
      <alignment horizontal="center" vertical="center"/>
    </xf>
    <xf numFmtId="1" fontId="0" fillId="33" borderId="12" xfId="0" applyNumberFormat="1" applyFill="1" applyBorder="1" applyAlignment="1">
      <alignment horizontal="center" vertical="center"/>
    </xf>
    <xf numFmtId="1" fontId="0" fillId="33" borderId="13" xfId="0" applyNumberFormat="1" applyFill="1" applyBorder="1" applyAlignment="1">
      <alignment horizontal="center" vertical="center"/>
    </xf>
    <xf numFmtId="1" fontId="0" fillId="33" borderId="14" xfId="0" applyNumberFormat="1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1" fontId="0" fillId="33" borderId="25" xfId="0" applyNumberFormat="1" applyFill="1" applyBorder="1" applyAlignment="1">
      <alignment horizontal="center" vertical="center"/>
    </xf>
    <xf numFmtId="1" fontId="0" fillId="33" borderId="15" xfId="0" applyNumberFormat="1" applyFill="1" applyBorder="1" applyAlignment="1">
      <alignment horizontal="center" vertical="center"/>
    </xf>
    <xf numFmtId="1" fontId="0" fillId="33" borderId="16" xfId="0" applyNumberFormat="1" applyFill="1" applyBorder="1" applyAlignment="1">
      <alignment horizontal="center" vertical="center"/>
    </xf>
    <xf numFmtId="1" fontId="0" fillId="33" borderId="17" xfId="0" applyNumberFormat="1" applyFill="1" applyBorder="1" applyAlignment="1">
      <alignment horizontal="center" vertical="center"/>
    </xf>
    <xf numFmtId="1" fontId="16" fillId="34" borderId="11" xfId="0" applyNumberFormat="1" applyFont="1" applyFill="1" applyBorder="1" applyAlignment="1">
      <alignment horizontal="center" wrapText="1"/>
    </xf>
    <xf numFmtId="1" fontId="16" fillId="34" borderId="12" xfId="0" applyNumberFormat="1" applyFont="1" applyFill="1" applyBorder="1" applyAlignment="1">
      <alignment horizontal="center" wrapText="1"/>
    </xf>
    <xf numFmtId="1" fontId="16" fillId="34" borderId="13" xfId="0" applyNumberFormat="1" applyFont="1" applyFill="1" applyBorder="1" applyAlignment="1">
      <alignment horizontal="center" wrapText="1"/>
    </xf>
    <xf numFmtId="1" fontId="16" fillId="34" borderId="15" xfId="0" applyNumberFormat="1" applyFont="1" applyFill="1" applyBorder="1" applyAlignment="1">
      <alignment horizontal="center" wrapText="1"/>
    </xf>
    <xf numFmtId="1" fontId="16" fillId="34" borderId="16" xfId="0" applyNumberFormat="1" applyFont="1" applyFill="1" applyBorder="1" applyAlignment="1">
      <alignment horizontal="center" wrapText="1"/>
    </xf>
    <xf numFmtId="1" fontId="16" fillId="34" borderId="17" xfId="0" applyNumberFormat="1" applyFont="1" applyFill="1" applyBorder="1" applyAlignment="1">
      <alignment horizontal="center" wrapText="1"/>
    </xf>
    <xf numFmtId="0" fontId="0" fillId="33" borderId="11" xfId="0" applyFill="1" applyBorder="1" applyAlignment="1">
      <alignment horizontal="center" vertical="center" wrapText="1"/>
    </xf>
    <xf numFmtId="0" fontId="0" fillId="33" borderId="12" xfId="0" applyFill="1" applyBorder="1" applyAlignment="1">
      <alignment horizontal="center" vertical="center" wrapText="1"/>
    </xf>
    <xf numFmtId="0" fontId="0" fillId="33" borderId="13" xfId="0" applyFill="1" applyBorder="1" applyAlignment="1">
      <alignment horizontal="center" vertical="center" wrapText="1"/>
    </xf>
    <xf numFmtId="0" fontId="0" fillId="33" borderId="14" xfId="0" applyFill="1" applyBorder="1" applyAlignment="1">
      <alignment horizontal="center" vertical="center" wrapText="1"/>
    </xf>
    <xf numFmtId="0" fontId="0" fillId="33" borderId="0" xfId="0" applyFill="1" applyBorder="1" applyAlignment="1">
      <alignment horizontal="center" vertical="center" wrapText="1"/>
    </xf>
    <xf numFmtId="0" fontId="0" fillId="33" borderId="25" xfId="0" applyFill="1" applyBorder="1" applyAlignment="1">
      <alignment horizontal="center" vertical="center" wrapText="1"/>
    </xf>
    <xf numFmtId="0" fontId="0" fillId="33" borderId="15" xfId="0" applyFill="1" applyBorder="1" applyAlignment="1">
      <alignment horizontal="center" vertical="center" wrapText="1"/>
    </xf>
    <xf numFmtId="0" fontId="0" fillId="33" borderId="16" xfId="0" applyFill="1" applyBorder="1" applyAlignment="1">
      <alignment horizontal="center" vertical="center" wrapText="1"/>
    </xf>
    <xf numFmtId="0" fontId="0" fillId="33" borderId="17" xfId="0" applyFill="1" applyBorder="1" applyAlignment="1">
      <alignment horizontal="center" vertical="center" wrapText="1"/>
    </xf>
    <xf numFmtId="49" fontId="0" fillId="35" borderId="15" xfId="0" applyNumberFormat="1" applyFill="1" applyBorder="1" applyAlignment="1">
      <alignment horizontal="center"/>
    </xf>
    <xf numFmtId="49" fontId="0" fillId="35" borderId="16" xfId="0" applyNumberFormat="1" applyFill="1" applyBorder="1" applyAlignment="1">
      <alignment horizontal="center"/>
    </xf>
    <xf numFmtId="49" fontId="0" fillId="35" borderId="17" xfId="0" applyNumberFormat="1" applyFill="1" applyBorder="1" applyAlignment="1">
      <alignment horizontal="center"/>
    </xf>
    <xf numFmtId="49" fontId="0" fillId="34" borderId="11" xfId="0" applyNumberFormat="1" applyFill="1" applyBorder="1" applyAlignment="1">
      <alignment horizontal="center"/>
    </xf>
    <xf numFmtId="49" fontId="0" fillId="34" borderId="12" xfId="0" applyNumberFormat="1" applyFill="1" applyBorder="1" applyAlignment="1">
      <alignment horizontal="center"/>
    </xf>
    <xf numFmtId="49" fontId="0" fillId="34" borderId="13" xfId="0" applyNumberFormat="1" applyFill="1" applyBorder="1" applyAlignment="1">
      <alignment horizontal="center"/>
    </xf>
    <xf numFmtId="49" fontId="0" fillId="34" borderId="14" xfId="0" applyNumberFormat="1" applyFill="1" applyBorder="1" applyAlignment="1">
      <alignment horizontal="center"/>
    </xf>
    <xf numFmtId="49" fontId="0" fillId="34" borderId="0" xfId="0" applyNumberFormat="1" applyFill="1" applyBorder="1" applyAlignment="1">
      <alignment horizontal="center"/>
    </xf>
    <xf numFmtId="49" fontId="0" fillId="34" borderId="25" xfId="0" applyNumberFormat="1" applyFill="1" applyBorder="1" applyAlignment="1">
      <alignment horizontal="center"/>
    </xf>
    <xf numFmtId="49" fontId="0" fillId="34" borderId="15" xfId="0" applyNumberFormat="1" applyFill="1" applyBorder="1" applyAlignment="1">
      <alignment horizontal="center"/>
    </xf>
    <xf numFmtId="49" fontId="0" fillId="34" borderId="16" xfId="0" applyNumberFormat="1" applyFill="1" applyBorder="1" applyAlignment="1">
      <alignment horizontal="center"/>
    </xf>
    <xf numFmtId="49" fontId="0" fillId="34" borderId="17" xfId="0" applyNumberFormat="1" applyFill="1" applyBorder="1" applyAlignment="1">
      <alignment horizontal="center"/>
    </xf>
    <xf numFmtId="49" fontId="0" fillId="35" borderId="11" xfId="0" applyNumberFormat="1" applyFill="1" applyBorder="1" applyAlignment="1">
      <alignment horizontal="center"/>
    </xf>
    <xf numFmtId="49" fontId="0" fillId="35" borderId="12" xfId="0" applyNumberFormat="1" applyFill="1" applyBorder="1" applyAlignment="1">
      <alignment horizontal="center"/>
    </xf>
    <xf numFmtId="49" fontId="0" fillId="35" borderId="13" xfId="0" applyNumberFormat="1" applyFill="1" applyBorder="1" applyAlignment="1">
      <alignment horizontal="center"/>
    </xf>
    <xf numFmtId="49" fontId="0" fillId="35" borderId="14" xfId="0" applyNumberFormat="1" applyFill="1" applyBorder="1" applyAlignment="1">
      <alignment horizontal="center"/>
    </xf>
    <xf numFmtId="49" fontId="0" fillId="35" borderId="0" xfId="0" applyNumberFormat="1" applyFill="1" applyBorder="1" applyAlignment="1">
      <alignment horizontal="center"/>
    </xf>
    <xf numFmtId="49" fontId="0" fillId="35" borderId="25" xfId="0" applyNumberFormat="1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21FF46"/>
      <color rgb="FFDF9500"/>
      <color rgb="FFC76D00"/>
      <color rgb="FFCDED2D"/>
      <color rgb="FF050505"/>
      <color rgb="FF111111"/>
      <color rgb="FF141414"/>
      <color rgb="FF222222"/>
      <color rgb="FF1C1C1C"/>
      <color rgb="FF37373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L*</a:t>
            </a:r>
          </a:p>
        </c:rich>
      </c:tx>
      <c:layout>
        <c:manualLayout>
          <c:xMode val="edge"/>
          <c:yMode val="edge"/>
          <c:x val="0.49764810073587429"/>
          <c:y val="1.5549075187124549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L*</c:v>
          </c:tx>
          <c:spPr>
            <a:gradFill>
              <a:gsLst>
                <a:gs pos="0">
                  <a:schemeClr val="bg1"/>
                </a:gs>
                <a:gs pos="100000">
                  <a:schemeClr val="tx1"/>
                </a:gs>
              </a:gsLst>
              <a:lin ang="5400000" scaled="0"/>
            </a:gradFill>
            <a:ln w="12700">
              <a:solidFill>
                <a:schemeClr val="tx1"/>
              </a:solidFill>
            </a:ln>
          </c:spPr>
          <c:invertIfNegative val="0"/>
          <c:cat>
            <c:strLit>
              <c:ptCount val="1"/>
              <c:pt idx="0">
                <c:v>L*</c:v>
              </c:pt>
            </c:strLit>
          </c:cat>
          <c:val>
            <c:numLit>
              <c:formatCode>General</c:formatCode>
              <c:ptCount val="1"/>
              <c:pt idx="0">
                <c:v>100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11136"/>
        <c:axId val="113550848"/>
      </c:ba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marker>
            <c:symbol val="dash"/>
            <c:size val="11"/>
            <c:spPr>
              <a:noFill/>
              <a:ln w="31750">
                <a:solidFill>
                  <a:srgbClr val="FF0000"/>
                </a:solidFill>
              </a:ln>
            </c:spPr>
          </c:marker>
          <c:yVal>
            <c:numRef>
              <c:f>'CIE Lab'!$F$32</c:f>
              <c:numCache>
                <c:formatCode>General</c:formatCode>
                <c:ptCount val="1"/>
                <c:pt idx="0">
                  <c:v>79.868523534134425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11136"/>
        <c:axId val="113550848"/>
      </c:scatterChart>
      <c:catAx>
        <c:axId val="10841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3550848"/>
        <c:crosses val="autoZero"/>
        <c:auto val="1"/>
        <c:lblAlgn val="ctr"/>
        <c:lblOffset val="100"/>
        <c:noMultiLvlLbl val="0"/>
      </c:catAx>
      <c:valAx>
        <c:axId val="11355084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08411136"/>
        <c:crosses val="autoZero"/>
        <c:crossBetween val="between"/>
        <c:majorUnit val="2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a*</a:t>
            </a:r>
            <a:r>
              <a:rPr lang="en-US" baseline="0"/>
              <a:t> and b*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4566288969976312E-2"/>
          <c:y val="0.10958270660887985"/>
          <c:w val="0.89501376352346196"/>
          <c:h val="0.85863167467951185"/>
        </c:manualLayout>
      </c:layout>
      <c:scatterChart>
        <c:scatterStyle val="lineMarker"/>
        <c:varyColors val="0"/>
        <c:ser>
          <c:idx val="0"/>
          <c:order val="0"/>
          <c:tx>
            <c:v>a-b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bg1"/>
                </a:solidFill>
              </a:ln>
            </c:spPr>
          </c:marker>
          <c:xVal>
            <c:numRef>
              <c:f>'CIE Lab'!$F$30</c:f>
              <c:numCache>
                <c:formatCode>General</c:formatCode>
                <c:ptCount val="1"/>
                <c:pt idx="0">
                  <c:v>12.734072716850452</c:v>
                </c:pt>
              </c:numCache>
            </c:numRef>
          </c:xVal>
          <c:yVal>
            <c:numRef>
              <c:f>'CIE Lab'!$F$31</c:f>
              <c:numCache>
                <c:formatCode>General</c:formatCode>
                <c:ptCount val="1"/>
                <c:pt idx="0">
                  <c:v>65.678430578267466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11392"/>
        <c:axId val="125223296"/>
      </c:scatterChart>
      <c:valAx>
        <c:axId val="125211392"/>
        <c:scaling>
          <c:orientation val="minMax"/>
          <c:max val="100"/>
          <c:min val="-10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crossAx val="125223296"/>
        <c:crosses val="autoZero"/>
        <c:crossBetween val="midCat"/>
        <c:majorUnit val="20"/>
      </c:valAx>
      <c:valAx>
        <c:axId val="125223296"/>
        <c:scaling>
          <c:orientation val="minMax"/>
          <c:max val="100"/>
          <c:min val="-10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crossAx val="125211392"/>
        <c:crosses val="autoZero"/>
        <c:crossBetween val="midCat"/>
        <c:majorUnit val="2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L*</a:t>
            </a:r>
          </a:p>
        </c:rich>
      </c:tx>
      <c:layout>
        <c:manualLayout>
          <c:xMode val="edge"/>
          <c:yMode val="edge"/>
          <c:x val="0.49764810073587429"/>
          <c:y val="1.5549075187124549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L*</c:v>
          </c:tx>
          <c:spPr>
            <a:gradFill>
              <a:gsLst>
                <a:gs pos="0">
                  <a:schemeClr val="bg1"/>
                </a:gs>
                <a:gs pos="100000">
                  <a:schemeClr val="tx1"/>
                </a:gs>
              </a:gsLst>
              <a:lin ang="5400000" scaled="0"/>
            </a:gradFill>
            <a:ln w="12700">
              <a:solidFill>
                <a:schemeClr val="tx1"/>
              </a:solidFill>
            </a:ln>
          </c:spPr>
          <c:invertIfNegative val="0"/>
          <c:cat>
            <c:strLit>
              <c:ptCount val="1"/>
              <c:pt idx="0">
                <c:v>L*</c:v>
              </c:pt>
            </c:strLit>
          </c:cat>
          <c:val>
            <c:numLit>
              <c:formatCode>General</c:formatCode>
              <c:ptCount val="1"/>
              <c:pt idx="0">
                <c:v>100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217728"/>
        <c:axId val="70219648"/>
      </c:ba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marker>
            <c:symbol val="dash"/>
            <c:size val="11"/>
            <c:spPr>
              <a:noFill/>
              <a:ln w="31750">
                <a:solidFill>
                  <a:srgbClr val="FF0000"/>
                </a:solidFill>
              </a:ln>
            </c:spPr>
          </c:marker>
          <c:yVal>
            <c:numRef>
              <c:f>'CIE LCH'!$F$32</c:f>
              <c:numCache>
                <c:formatCode>General</c:formatCode>
                <c:ptCount val="1"/>
                <c:pt idx="0">
                  <c:v>79.868523534134425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17728"/>
        <c:axId val="70219648"/>
      </c:scatterChart>
      <c:catAx>
        <c:axId val="70217728"/>
        <c:scaling>
          <c:orientation val="minMax"/>
        </c:scaling>
        <c:delete val="0"/>
        <c:axPos val="b"/>
        <c:majorTickMark val="out"/>
        <c:minorTickMark val="none"/>
        <c:tickLblPos val="nextTo"/>
        <c:crossAx val="70219648"/>
        <c:crosses val="autoZero"/>
        <c:auto val="1"/>
        <c:lblAlgn val="ctr"/>
        <c:lblOffset val="100"/>
        <c:noMultiLvlLbl val="0"/>
      </c:catAx>
      <c:valAx>
        <c:axId val="7021964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70217728"/>
        <c:crosses val="autoZero"/>
        <c:crossBetween val="between"/>
        <c:majorUnit val="2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C*</a:t>
            </a:r>
            <a:r>
              <a:rPr lang="en-US" baseline="0"/>
              <a:t> and H*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4566288969976312E-2"/>
          <c:y val="0.10958270660887985"/>
          <c:w val="0.89501376352346196"/>
          <c:h val="0.85863167467951185"/>
        </c:manualLayout>
      </c:layout>
      <c:pieChart>
        <c:varyColors val="1"/>
        <c:ser>
          <c:idx val="1"/>
          <c:order val="1"/>
          <c:tx>
            <c:v>H</c:v>
          </c:tx>
          <c:spPr>
            <a:noFill/>
          </c:spPr>
          <c:dPt>
            <c:idx val="1"/>
            <c:bubble3D val="0"/>
            <c:spPr>
              <a:solidFill>
                <a:schemeClr val="tx1">
                  <a:alpha val="50000"/>
                </a:schemeClr>
              </a:solidFill>
            </c:spPr>
          </c:dPt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Ref>
              <c:f>'CIE LCH'!$F$33:$G$33</c:f>
              <c:numCache>
                <c:formatCode>General</c:formatCode>
                <c:ptCount val="2"/>
                <c:pt idx="0">
                  <c:v>280.97266015021125</c:v>
                </c:pt>
                <c:pt idx="1">
                  <c:v>79.027339849788774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catterChart>
        <c:scatterStyle val="smoothMarker"/>
        <c:varyColors val="0"/>
        <c:ser>
          <c:idx val="0"/>
          <c:order val="0"/>
          <c:tx>
            <c:v>C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bg1"/>
                </a:solidFill>
              </a:ln>
            </c:spPr>
          </c:marker>
          <c:xVal>
            <c:numRef>
              <c:f>'CIE LCH'!$F$30:$G$30</c:f>
              <c:numCache>
                <c:formatCode>General</c:formatCode>
                <c:ptCount val="2"/>
                <c:pt idx="0">
                  <c:v>12.734072716850452</c:v>
                </c:pt>
                <c:pt idx="1">
                  <c:v>0</c:v>
                </c:pt>
              </c:numCache>
            </c:numRef>
          </c:xVal>
          <c:yVal>
            <c:numRef>
              <c:f>'CIE LCH'!$F$31:$G$31</c:f>
              <c:numCache>
                <c:formatCode>General</c:formatCode>
                <c:ptCount val="2"/>
                <c:pt idx="0">
                  <c:v>65.678430578267466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29376"/>
        <c:axId val="70231552"/>
      </c:scatterChart>
      <c:valAx>
        <c:axId val="70229376"/>
        <c:scaling>
          <c:orientation val="minMax"/>
          <c:max val="100"/>
          <c:min val="-10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crossAx val="70231552"/>
        <c:crosses val="autoZero"/>
        <c:crossBetween val="midCat"/>
        <c:majorUnit val="20"/>
      </c:valAx>
      <c:valAx>
        <c:axId val="70231552"/>
        <c:scaling>
          <c:orientation val="minMax"/>
          <c:max val="100"/>
          <c:min val="-10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crossAx val="70229376"/>
        <c:crosses val="autoZero"/>
        <c:crossBetween val="midCat"/>
        <c:majorUnit val="2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R</a:t>
            </a:r>
          </a:p>
        </c:rich>
      </c:tx>
      <c:layout>
        <c:manualLayout>
          <c:xMode val="edge"/>
          <c:yMode val="edge"/>
          <c:x val="0.49764810073587429"/>
          <c:y val="1.5549075187124549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</c:v>
          </c:tx>
          <c:spPr>
            <a:gradFill>
              <a:gsLst>
                <a:gs pos="0">
                  <a:srgbClr val="FF0000"/>
                </a:gs>
                <a:gs pos="100000">
                  <a:schemeClr val="tx1"/>
                </a:gs>
              </a:gsLst>
              <a:lin ang="5400000" scaled="0"/>
            </a:gradFill>
            <a:ln w="12700">
              <a:solidFill>
                <a:schemeClr val="tx1"/>
              </a:solidFill>
            </a:ln>
          </c:spPr>
          <c:invertIfNegative val="0"/>
          <c:cat>
            <c:strLit>
              <c:ptCount val="1"/>
              <c:pt idx="0">
                <c:v>R</c:v>
              </c:pt>
            </c:strLit>
          </c:cat>
          <c:val>
            <c:numLit>
              <c:formatCode>General</c:formatCode>
              <c:ptCount val="1"/>
              <c:pt idx="0">
                <c:v>255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8080"/>
        <c:axId val="75040256"/>
      </c:ba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marker>
            <c:symbol val="dash"/>
            <c:size val="11"/>
            <c:spPr>
              <a:noFill/>
              <a:ln w="31750">
                <a:solidFill>
                  <a:schemeClr val="bg1"/>
                </a:solidFill>
              </a:ln>
            </c:spPr>
          </c:marker>
          <c:yVal>
            <c:numRef>
              <c:f>RGB!$F$30</c:f>
              <c:numCache>
                <c:formatCode>General</c:formatCode>
                <c:ptCount val="1"/>
                <c:pt idx="0">
                  <c:v>251.16040227311279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38080"/>
        <c:axId val="75040256"/>
      </c:scatterChart>
      <c:catAx>
        <c:axId val="75038080"/>
        <c:scaling>
          <c:orientation val="minMax"/>
        </c:scaling>
        <c:delete val="0"/>
        <c:axPos val="b"/>
        <c:majorTickMark val="out"/>
        <c:minorTickMark val="none"/>
        <c:tickLblPos val="nextTo"/>
        <c:crossAx val="75040256"/>
        <c:crosses val="autoZero"/>
        <c:auto val="1"/>
        <c:lblAlgn val="ctr"/>
        <c:lblOffset val="100"/>
        <c:noMultiLvlLbl val="0"/>
      </c:catAx>
      <c:valAx>
        <c:axId val="75040256"/>
        <c:scaling>
          <c:orientation val="minMax"/>
          <c:max val="25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75038080"/>
        <c:crosses val="autoZero"/>
        <c:crossBetween val="between"/>
        <c:majorUnit val="5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s-ES"/>
              <a:t>G</a:t>
            </a:r>
          </a:p>
        </c:rich>
      </c:tx>
      <c:layout>
        <c:manualLayout>
          <c:xMode val="edge"/>
          <c:yMode val="edge"/>
          <c:x val="0.39031563613565856"/>
          <c:y val="1.8133348092767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</c:v>
          </c:tx>
          <c:spPr>
            <a:gradFill>
              <a:gsLst>
                <a:gs pos="0">
                  <a:srgbClr val="21FF46"/>
                </a:gs>
                <a:gs pos="100000">
                  <a:schemeClr val="tx1"/>
                </a:gs>
              </a:gsLst>
              <a:lin ang="5400000" scaled="0"/>
            </a:gradFill>
            <a:ln w="12700">
              <a:solidFill>
                <a:schemeClr val="tx1"/>
              </a:solidFill>
            </a:ln>
          </c:spPr>
          <c:invertIfNegative val="0"/>
          <c:cat>
            <c:strLit>
              <c:ptCount val="1"/>
              <c:pt idx="0">
                <c:v>G</c:v>
              </c:pt>
            </c:strLit>
          </c:cat>
          <c:val>
            <c:numLit>
              <c:formatCode>General</c:formatCode>
              <c:ptCount val="1"/>
              <c:pt idx="0">
                <c:v>255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65600"/>
        <c:axId val="75067776"/>
      </c:ba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marker>
            <c:symbol val="dash"/>
            <c:size val="11"/>
            <c:spPr>
              <a:noFill/>
              <a:ln w="31750">
                <a:solidFill>
                  <a:schemeClr val="bg1"/>
                </a:solidFill>
              </a:ln>
            </c:spPr>
          </c:marker>
          <c:yVal>
            <c:numRef>
              <c:f>RGB!$F$31</c:f>
              <c:numCache>
                <c:formatCode>General</c:formatCode>
                <c:ptCount val="1"/>
                <c:pt idx="0">
                  <c:v>186.89392071690011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65600"/>
        <c:axId val="75067776"/>
      </c:scatterChart>
      <c:catAx>
        <c:axId val="75065600"/>
        <c:scaling>
          <c:orientation val="minMax"/>
        </c:scaling>
        <c:delete val="0"/>
        <c:axPos val="b"/>
        <c:majorTickMark val="out"/>
        <c:minorTickMark val="none"/>
        <c:tickLblPos val="nextTo"/>
        <c:crossAx val="75067776"/>
        <c:crosses val="autoZero"/>
        <c:auto val="1"/>
        <c:lblAlgn val="ctr"/>
        <c:lblOffset val="100"/>
        <c:noMultiLvlLbl val="0"/>
      </c:catAx>
      <c:valAx>
        <c:axId val="75067776"/>
        <c:scaling>
          <c:orientation val="minMax"/>
          <c:max val="25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5065600"/>
        <c:crosses val="autoZero"/>
        <c:crossBetween val="between"/>
        <c:majorUnit val="5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B</a:t>
            </a:r>
          </a:p>
        </c:rich>
      </c:tx>
      <c:layout>
        <c:manualLayout>
          <c:xMode val="edge"/>
          <c:yMode val="edge"/>
          <c:x val="0.39956674183682933"/>
          <c:y val="1.5549090616072738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</c:v>
          </c:tx>
          <c:spPr>
            <a:gradFill>
              <a:gsLst>
                <a:gs pos="0">
                  <a:srgbClr val="00B0F0"/>
                </a:gs>
                <a:gs pos="100000">
                  <a:schemeClr val="tx1"/>
                </a:gs>
              </a:gsLst>
              <a:lin ang="5400000" scaled="0"/>
            </a:gradFill>
            <a:ln w="12700">
              <a:solidFill>
                <a:schemeClr val="tx1"/>
              </a:solidFill>
            </a:ln>
          </c:spPr>
          <c:invertIfNegative val="0"/>
          <c:cat>
            <c:strLit>
              <c:ptCount val="1"/>
              <c:pt idx="0">
                <c:v>B</c:v>
              </c:pt>
            </c:strLit>
          </c:cat>
          <c:val>
            <c:numLit>
              <c:formatCode>General</c:formatCode>
              <c:ptCount val="1"/>
              <c:pt idx="0">
                <c:v>255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84544"/>
        <c:axId val="75086464"/>
      </c:ba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marker>
            <c:symbol val="dash"/>
            <c:size val="11"/>
            <c:spPr>
              <a:noFill/>
              <a:ln w="31750">
                <a:solidFill>
                  <a:schemeClr val="bg1"/>
                </a:solidFill>
              </a:ln>
            </c:spPr>
          </c:marker>
          <c:yVal>
            <c:numRef>
              <c:f>RGB!$F$32</c:f>
              <c:numCache>
                <c:formatCode>General</c:formatCode>
                <c:ptCount val="1"/>
                <c:pt idx="0">
                  <c:v>67.957872312579212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84544"/>
        <c:axId val="75086464"/>
      </c:scatterChart>
      <c:catAx>
        <c:axId val="75084544"/>
        <c:scaling>
          <c:orientation val="minMax"/>
        </c:scaling>
        <c:delete val="0"/>
        <c:axPos val="b"/>
        <c:majorTickMark val="out"/>
        <c:minorTickMark val="none"/>
        <c:tickLblPos val="nextTo"/>
        <c:crossAx val="75086464"/>
        <c:crosses val="autoZero"/>
        <c:auto val="1"/>
        <c:lblAlgn val="ctr"/>
        <c:lblOffset val="100"/>
        <c:noMultiLvlLbl val="0"/>
      </c:catAx>
      <c:valAx>
        <c:axId val="75086464"/>
        <c:scaling>
          <c:orientation val="minMax"/>
          <c:max val="25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5084544"/>
        <c:crosses val="autoZero"/>
        <c:crossBetween val="between"/>
        <c:majorUnit val="5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9</xdr:row>
      <xdr:rowOff>123825</xdr:rowOff>
    </xdr:from>
    <xdr:to>
      <xdr:col>7</xdr:col>
      <xdr:colOff>495300</xdr:colOff>
      <xdr:row>16</xdr:row>
      <xdr:rowOff>104775</xdr:rowOff>
    </xdr:to>
    <xdr:grpSp>
      <xdr:nvGrpSpPr>
        <xdr:cNvPr id="8" name="7 Grupo"/>
        <xdr:cNvGrpSpPr/>
      </xdr:nvGrpSpPr>
      <xdr:grpSpPr>
        <a:xfrm>
          <a:off x="3848100" y="1857375"/>
          <a:ext cx="1981200" cy="1333500"/>
          <a:chOff x="3848100" y="123825"/>
          <a:chExt cx="1981200" cy="1333500"/>
        </a:xfrm>
      </xdr:grpSpPr>
      <xdr:sp macro="" textlink="">
        <xdr:nvSpPr>
          <xdr:cNvPr id="2" name="1 CuadroTexto"/>
          <xdr:cNvSpPr txBox="1"/>
        </xdr:nvSpPr>
        <xdr:spPr>
          <a:xfrm>
            <a:off x="3981450" y="123825"/>
            <a:ext cx="1847850" cy="8763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Introduce the sample's</a:t>
            </a:r>
            <a:r>
              <a:rPr lang="es-ES" sz="1100" baseline="0"/>
              <a:t> spectrum in the white column, right here.</a:t>
            </a:r>
            <a:endParaRPr lang="es-ES" sz="1100"/>
          </a:p>
        </xdr:txBody>
      </xdr:sp>
      <xdr:cxnSp macro="">
        <xdr:nvCxnSpPr>
          <xdr:cNvPr id="7" name="6 Conector recto de flecha"/>
          <xdr:cNvCxnSpPr/>
        </xdr:nvCxnSpPr>
        <xdr:spPr>
          <a:xfrm flipH="1">
            <a:off x="3848100" y="923925"/>
            <a:ext cx="371475" cy="53340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47625</xdr:colOff>
      <xdr:row>83</xdr:row>
      <xdr:rowOff>76199</xdr:rowOff>
    </xdr:from>
    <xdr:to>
      <xdr:col>7</xdr:col>
      <xdr:colOff>628650</xdr:colOff>
      <xdr:row>92</xdr:row>
      <xdr:rowOff>180975</xdr:rowOff>
    </xdr:to>
    <xdr:grpSp>
      <xdr:nvGrpSpPr>
        <xdr:cNvPr id="9" name="8 Grupo"/>
        <xdr:cNvGrpSpPr/>
      </xdr:nvGrpSpPr>
      <xdr:grpSpPr>
        <a:xfrm>
          <a:off x="3857625" y="15925799"/>
          <a:ext cx="2105025" cy="1828801"/>
          <a:chOff x="3829050" y="-142876"/>
          <a:chExt cx="2105025" cy="1828801"/>
        </a:xfrm>
      </xdr:grpSpPr>
      <xdr:sp macro="" textlink="">
        <xdr:nvSpPr>
          <xdr:cNvPr id="10" name="9 CuadroTexto"/>
          <xdr:cNvSpPr txBox="1"/>
        </xdr:nvSpPr>
        <xdr:spPr>
          <a:xfrm>
            <a:off x="4086225" y="-142876"/>
            <a:ext cx="1847850" cy="14382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XYZ coordinates. These</a:t>
            </a:r>
            <a:r>
              <a:rPr lang="es-ES" sz="1100" baseline="0"/>
              <a:t> parameters don't give much information about the hue of the color, but they are necessary because they allow us to determine the other color spaces.</a:t>
            </a:r>
            <a:endParaRPr lang="es-ES" sz="1100"/>
          </a:p>
        </xdr:txBody>
      </xdr:sp>
      <xdr:cxnSp macro="">
        <xdr:nvCxnSpPr>
          <xdr:cNvPr id="11" name="10 Conector recto de flecha"/>
          <xdr:cNvCxnSpPr/>
        </xdr:nvCxnSpPr>
        <xdr:spPr>
          <a:xfrm flipH="1">
            <a:off x="3829050" y="1190625"/>
            <a:ext cx="342901" cy="49530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85725</xdr:colOff>
      <xdr:row>92</xdr:row>
      <xdr:rowOff>57149</xdr:rowOff>
    </xdr:from>
    <xdr:to>
      <xdr:col>7</xdr:col>
      <xdr:colOff>638175</xdr:colOff>
      <xdr:row>102</xdr:row>
      <xdr:rowOff>66674</xdr:rowOff>
    </xdr:to>
    <xdr:grpSp>
      <xdr:nvGrpSpPr>
        <xdr:cNvPr id="18" name="17 Grupo"/>
        <xdr:cNvGrpSpPr/>
      </xdr:nvGrpSpPr>
      <xdr:grpSpPr>
        <a:xfrm>
          <a:off x="3895725" y="17630774"/>
          <a:ext cx="2076450" cy="1971675"/>
          <a:chOff x="3895725" y="15897224"/>
          <a:chExt cx="2076450" cy="1971675"/>
        </a:xfrm>
      </xdr:grpSpPr>
      <xdr:grpSp>
        <xdr:nvGrpSpPr>
          <xdr:cNvPr id="12" name="11 Grupo"/>
          <xdr:cNvGrpSpPr/>
        </xdr:nvGrpSpPr>
        <xdr:grpSpPr>
          <a:xfrm>
            <a:off x="3905250" y="15897224"/>
            <a:ext cx="2066925" cy="1409701"/>
            <a:chOff x="3762375" y="123824"/>
            <a:chExt cx="2066925" cy="1409701"/>
          </a:xfrm>
        </xdr:grpSpPr>
        <xdr:sp macro="" textlink="">
          <xdr:nvSpPr>
            <xdr:cNvPr id="13" name="12 CuadroTexto"/>
            <xdr:cNvSpPr txBox="1"/>
          </xdr:nvSpPr>
          <xdr:spPr>
            <a:xfrm>
              <a:off x="3981450" y="123824"/>
              <a:ext cx="1847850" cy="12287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ES" sz="1100"/>
                <a:t>L*a*b* and L*C*H*</a:t>
              </a:r>
              <a:r>
                <a:rPr lang="es-ES" sz="1100" baseline="0"/>
                <a:t> coordinates. These coordinates are the most-worldwide-used and they are explained in "CIE Lab" and "CIE LCH" sheets.</a:t>
              </a:r>
              <a:endParaRPr lang="es-ES" sz="1100"/>
            </a:p>
          </xdr:txBody>
        </xdr:sp>
        <xdr:cxnSp macro="">
          <xdr:nvCxnSpPr>
            <xdr:cNvPr id="14" name="13 Conector recto de flecha"/>
            <xdr:cNvCxnSpPr/>
          </xdr:nvCxnSpPr>
          <xdr:spPr>
            <a:xfrm flipH="1">
              <a:off x="3762375" y="1190625"/>
              <a:ext cx="409576" cy="342900"/>
            </a:xfrm>
            <a:prstGeom prst="straightConnector1">
              <a:avLst/>
            </a:prstGeom>
            <a:ln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</xdr:grpSp>
      <xdr:cxnSp macro="">
        <xdr:nvCxnSpPr>
          <xdr:cNvPr id="16" name="15 Conector recto de flecha"/>
          <xdr:cNvCxnSpPr/>
        </xdr:nvCxnSpPr>
        <xdr:spPr>
          <a:xfrm flipH="1">
            <a:off x="3895725" y="16973550"/>
            <a:ext cx="428625" cy="895349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57150</xdr:colOff>
      <xdr:row>101</xdr:row>
      <xdr:rowOff>123824</xdr:rowOff>
    </xdr:from>
    <xdr:to>
      <xdr:col>7</xdr:col>
      <xdr:colOff>685800</xdr:colOff>
      <xdr:row>108</xdr:row>
      <xdr:rowOff>95249</xdr:rowOff>
    </xdr:to>
    <xdr:grpSp>
      <xdr:nvGrpSpPr>
        <xdr:cNvPr id="19" name="18 Grupo"/>
        <xdr:cNvGrpSpPr/>
      </xdr:nvGrpSpPr>
      <xdr:grpSpPr>
        <a:xfrm>
          <a:off x="3867150" y="19459574"/>
          <a:ext cx="2152650" cy="1343025"/>
          <a:chOff x="3800475" y="380999"/>
          <a:chExt cx="2152650" cy="1343026"/>
        </a:xfrm>
      </xdr:grpSpPr>
      <xdr:sp macro="" textlink="">
        <xdr:nvSpPr>
          <xdr:cNvPr id="20" name="19 CuadroTexto"/>
          <xdr:cNvSpPr txBox="1"/>
        </xdr:nvSpPr>
        <xdr:spPr>
          <a:xfrm>
            <a:off x="4105275" y="380999"/>
            <a:ext cx="1847850" cy="99059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RGB</a:t>
            </a:r>
            <a:r>
              <a:rPr lang="es-ES" sz="1100" baseline="0"/>
              <a:t> coordinates. These coordinates are used by computers. They are explained in "RGB" sheet.</a:t>
            </a:r>
            <a:endParaRPr lang="es-ES" sz="1100"/>
          </a:p>
        </xdr:txBody>
      </xdr:sp>
      <xdr:cxnSp macro="">
        <xdr:nvCxnSpPr>
          <xdr:cNvPr id="21" name="20 Conector recto de flecha"/>
          <xdr:cNvCxnSpPr/>
        </xdr:nvCxnSpPr>
        <xdr:spPr>
          <a:xfrm flipH="1">
            <a:off x="3800475" y="1190625"/>
            <a:ext cx="371475" cy="53340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57150</xdr:colOff>
      <xdr:row>111</xdr:row>
      <xdr:rowOff>76200</xdr:rowOff>
    </xdr:from>
    <xdr:to>
      <xdr:col>4</xdr:col>
      <xdr:colOff>314325</xdr:colOff>
      <xdr:row>123</xdr:row>
      <xdr:rowOff>0</xdr:rowOff>
    </xdr:to>
    <xdr:grpSp>
      <xdr:nvGrpSpPr>
        <xdr:cNvPr id="25" name="24 Grupo"/>
        <xdr:cNvGrpSpPr/>
      </xdr:nvGrpSpPr>
      <xdr:grpSpPr>
        <a:xfrm>
          <a:off x="57150" y="21374100"/>
          <a:ext cx="3305175" cy="2209800"/>
          <a:chOff x="57150" y="19640550"/>
          <a:chExt cx="3305175" cy="2209800"/>
        </a:xfrm>
      </xdr:grpSpPr>
      <xdr:grpSp>
        <xdr:nvGrpSpPr>
          <xdr:cNvPr id="6" name="5 Grupo"/>
          <xdr:cNvGrpSpPr/>
        </xdr:nvGrpSpPr>
        <xdr:grpSpPr>
          <a:xfrm>
            <a:off x="57150" y="19754850"/>
            <a:ext cx="2886075" cy="2095500"/>
            <a:chOff x="57150" y="19754850"/>
            <a:chExt cx="2886075" cy="2095500"/>
          </a:xfrm>
        </xdr:grpSpPr>
        <xdr:sp macro="" textlink="">
          <xdr:nvSpPr>
            <xdr:cNvPr id="5" name="4 CuadroTexto"/>
            <xdr:cNvSpPr txBox="1"/>
          </xdr:nvSpPr>
          <xdr:spPr>
            <a:xfrm>
              <a:off x="57150" y="19754850"/>
              <a:ext cx="2886075" cy="2095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ES" sz="1100"/>
                <a:t>In order to color the (COLOR) cell</a:t>
              </a:r>
              <a:r>
                <a:rPr lang="es-ES" sz="1100" baseline="0"/>
                <a:t> according to the obtained RGB values: </a:t>
              </a:r>
            </a:p>
            <a:p>
              <a:endParaRPr lang="es-ES" sz="1100" baseline="0"/>
            </a:p>
            <a:p>
              <a:r>
                <a:rPr lang="es-ES" sz="1100" baseline="0"/>
                <a:t>1. Select all the (COLOR) cells you want to color.</a:t>
              </a:r>
            </a:p>
            <a:p>
              <a:r>
                <a:rPr lang="es-ES" sz="1100" baseline="0"/>
                <a:t>2. Press the next button.</a:t>
              </a:r>
              <a:endParaRPr lang="es-ES" sz="1100"/>
            </a:p>
          </xdr:txBody>
        </xdr:sp>
        <xdr:sp macro="[0]!Hoja1.Addcolor" textlink="">
          <xdr:nvSpPr>
            <xdr:cNvPr id="4" name="3 Rectángulo redondeado"/>
            <xdr:cNvSpPr/>
          </xdr:nvSpPr>
          <xdr:spPr>
            <a:xfrm>
              <a:off x="257175" y="20916900"/>
              <a:ext cx="2486025" cy="762000"/>
            </a:xfrm>
            <a:prstGeom prst="round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ES" sz="1800" baseline="0"/>
                <a:t>Press this button to change the color</a:t>
              </a:r>
              <a:endParaRPr lang="es-ES" sz="1800"/>
            </a:p>
          </xdr:txBody>
        </xdr:sp>
      </xdr:grpSp>
      <xdr:cxnSp macro="">
        <xdr:nvCxnSpPr>
          <xdr:cNvPr id="22" name="21 Conector recto de flecha"/>
          <xdr:cNvCxnSpPr/>
        </xdr:nvCxnSpPr>
        <xdr:spPr>
          <a:xfrm flipV="1">
            <a:off x="2886075" y="19640550"/>
            <a:ext cx="476250" cy="28575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110728</xdr:colOff>
      <xdr:row>6</xdr:row>
      <xdr:rowOff>85725</xdr:rowOff>
    </xdr:from>
    <xdr:to>
      <xdr:col>2</xdr:col>
      <xdr:colOff>523875</xdr:colOff>
      <xdr:row>8</xdr:row>
      <xdr:rowOff>96440</xdr:rowOff>
    </xdr:to>
    <xdr:grpSp>
      <xdr:nvGrpSpPr>
        <xdr:cNvPr id="39" name="38 Grupo"/>
        <xdr:cNvGrpSpPr/>
      </xdr:nvGrpSpPr>
      <xdr:grpSpPr>
        <a:xfrm>
          <a:off x="872728" y="1238250"/>
          <a:ext cx="1175147" cy="391715"/>
          <a:chOff x="158353" y="971550"/>
          <a:chExt cx="1175147" cy="391715"/>
        </a:xfrm>
      </xdr:grpSpPr>
      <xdr:sp macro="[0]!From380to780" textlink="">
        <xdr:nvSpPr>
          <xdr:cNvPr id="34" name="33 Rectángulo redondeado"/>
          <xdr:cNvSpPr/>
        </xdr:nvSpPr>
        <xdr:spPr>
          <a:xfrm>
            <a:off x="158353" y="972740"/>
            <a:ext cx="571500" cy="390525"/>
          </a:xfrm>
          <a:prstGeom prst="round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800"/>
              <a:t>Yes</a:t>
            </a:r>
            <a:endParaRPr lang="es-ES" sz="1100"/>
          </a:p>
        </xdr:txBody>
      </xdr:sp>
      <xdr:sp macro="[0]!From780to380" textlink="">
        <xdr:nvSpPr>
          <xdr:cNvPr id="38" name="37 Rectángulo redondeado"/>
          <xdr:cNvSpPr/>
        </xdr:nvSpPr>
        <xdr:spPr>
          <a:xfrm>
            <a:off x="762000" y="971550"/>
            <a:ext cx="571500" cy="390525"/>
          </a:xfrm>
          <a:prstGeom prst="round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800"/>
              <a:t>No</a:t>
            </a:r>
            <a:endParaRPr lang="es-ES" sz="1100"/>
          </a:p>
        </xdr:txBody>
      </xdr:sp>
    </xdr:grpSp>
    <xdr:clientData/>
  </xdr:twoCellAnchor>
  <xdr:twoCellAnchor>
    <xdr:from>
      <xdr:col>3</xdr:col>
      <xdr:colOff>257175</xdr:colOff>
      <xdr:row>1</xdr:row>
      <xdr:rowOff>161925</xdr:rowOff>
    </xdr:from>
    <xdr:to>
      <xdr:col>6</xdr:col>
      <xdr:colOff>657225</xdr:colOff>
      <xdr:row>7</xdr:row>
      <xdr:rowOff>114300</xdr:rowOff>
    </xdr:to>
    <xdr:grpSp>
      <xdr:nvGrpSpPr>
        <xdr:cNvPr id="15" name="14 Grupo"/>
        <xdr:cNvGrpSpPr/>
      </xdr:nvGrpSpPr>
      <xdr:grpSpPr>
        <a:xfrm>
          <a:off x="2543175" y="352425"/>
          <a:ext cx="2686050" cy="1104900"/>
          <a:chOff x="2543175" y="352425"/>
          <a:chExt cx="2686050" cy="1104900"/>
        </a:xfrm>
      </xdr:grpSpPr>
      <xdr:sp macro="" textlink="">
        <xdr:nvSpPr>
          <xdr:cNvPr id="26" name="25 CuadroTexto"/>
          <xdr:cNvSpPr txBox="1"/>
        </xdr:nvSpPr>
        <xdr:spPr>
          <a:xfrm>
            <a:off x="3238500" y="352425"/>
            <a:ext cx="1990725" cy="9810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aseline="0"/>
              <a:t>If the spectrum has been obtained from 780nm to 380, you can change the XYZ matrix here.</a:t>
            </a:r>
          </a:p>
        </xdr:txBody>
      </xdr:sp>
      <xdr:cxnSp macro="">
        <xdr:nvCxnSpPr>
          <xdr:cNvPr id="27" name="26 Conector recto de flecha"/>
          <xdr:cNvCxnSpPr/>
        </xdr:nvCxnSpPr>
        <xdr:spPr>
          <a:xfrm flipH="1">
            <a:off x="2543175" y="1095375"/>
            <a:ext cx="885826" cy="36195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0</xdr:row>
      <xdr:rowOff>142876</xdr:rowOff>
    </xdr:from>
    <xdr:to>
      <xdr:col>10</xdr:col>
      <xdr:colOff>514350</xdr:colOff>
      <xdr:row>14</xdr:row>
      <xdr:rowOff>0</xdr:rowOff>
    </xdr:to>
    <xdr:sp macro="" textlink="">
      <xdr:nvSpPr>
        <xdr:cNvPr id="6" name="5 CuadroTexto"/>
        <xdr:cNvSpPr txBox="1"/>
      </xdr:nvSpPr>
      <xdr:spPr>
        <a:xfrm>
          <a:off x="4905375" y="142876"/>
          <a:ext cx="3228975" cy="2524124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>
              <a:solidFill>
                <a:sysClr val="windowText" lastClr="000000"/>
              </a:solidFill>
            </a:rPr>
            <a:t>In</a:t>
          </a:r>
          <a:r>
            <a:rPr lang="es-ES" sz="1100" baseline="0">
              <a:solidFill>
                <a:sysClr val="windowText" lastClr="000000"/>
              </a:solidFill>
            </a:rPr>
            <a:t> CIE L*a*b*, the three coordinates represent: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L*</a:t>
          </a:r>
          <a:r>
            <a:rPr lang="es-ES" sz="1100" baseline="0">
              <a:solidFill>
                <a:sysClr val="windowText" lastClr="000000"/>
              </a:solidFill>
            </a:rPr>
            <a:t>: the brightness of the color. For black colors, L* must be near to 0, and for white colors, L* must be near to 100.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a*</a:t>
          </a:r>
          <a:r>
            <a:rPr lang="es-ES" sz="1100" baseline="0">
              <a:solidFill>
                <a:sysClr val="windowText" lastClr="000000"/>
              </a:solidFill>
            </a:rPr>
            <a:t>: the red and green hue of the color. If the color has red hues, a* must be possitive,  and if it has green hues, a* must be negative. 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b*</a:t>
          </a:r>
          <a:r>
            <a:rPr lang="es-ES" sz="1100" baseline="0">
              <a:solidFill>
                <a:sysClr val="windowText" lastClr="000000"/>
              </a:solidFill>
            </a:rPr>
            <a:t>: the yellow and blue hue of the color. </a:t>
          </a:r>
          <a:r>
            <a:rPr lang="es-ES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If the color has yellow hues, b* must be possitive,  and if it has blue hues, b* must be negative. </a:t>
          </a:r>
          <a:endParaRPr lang="es-E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10</xdr:col>
      <xdr:colOff>600074</xdr:colOff>
      <xdr:row>0</xdr:row>
      <xdr:rowOff>147637</xdr:rowOff>
    </xdr:from>
    <xdr:to>
      <xdr:col>12</xdr:col>
      <xdr:colOff>628649</xdr:colOff>
      <xdr:row>26</xdr:row>
      <xdr:rowOff>66675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6</xdr:col>
      <xdr:colOff>227241</xdr:colOff>
      <xdr:row>26</xdr:row>
      <xdr:rowOff>84364</xdr:rowOff>
    </xdr:to>
    <xdr:grpSp>
      <xdr:nvGrpSpPr>
        <xdr:cNvPr id="9" name="8 Grupo"/>
        <xdr:cNvGrpSpPr/>
      </xdr:nvGrpSpPr>
      <xdr:grpSpPr>
        <a:xfrm>
          <a:off x="0" y="0"/>
          <a:ext cx="4799241" cy="5069114"/>
          <a:chOff x="7688034" y="1397427"/>
          <a:chExt cx="5419725" cy="5668762"/>
        </a:xfrm>
      </xdr:grpSpPr>
      <xdr:pic>
        <xdr:nvPicPr>
          <xdr:cNvPr id="10" name="9 Imagen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5000" b="95500" l="4000" r="9675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9633999">
            <a:off x="7688034" y="1646464"/>
            <a:ext cx="5419725" cy="5419725"/>
          </a:xfrm>
          <a:prstGeom prst="rect">
            <a:avLst/>
          </a:prstGeom>
        </xdr:spPr>
      </xdr:pic>
      <xdr:graphicFrame macro="">
        <xdr:nvGraphicFramePr>
          <xdr:cNvPr id="11" name="10 Gráfico"/>
          <xdr:cNvGraphicFramePr/>
        </xdr:nvGraphicFramePr>
        <xdr:xfrm>
          <a:off x="7740282" y="1397427"/>
          <a:ext cx="5292182" cy="54877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0.48984</cdr:x>
      <cdr:y>0.06836</cdr:y>
    </cdr:from>
    <cdr:to>
      <cdr:x>0.57317</cdr:x>
      <cdr:y>0.1211</cdr:y>
    </cdr:to>
    <cdr:sp macro="" textlink="">
      <cdr:nvSpPr>
        <cdr:cNvPr id="2" name="1 CuadroTexto"/>
        <cdr:cNvSpPr txBox="1"/>
      </cdr:nvSpPr>
      <cdr:spPr>
        <a:xfrm xmlns:a="http://schemas.openxmlformats.org/drawingml/2006/main">
          <a:off x="2295525" y="333375"/>
          <a:ext cx="3905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 b="1"/>
            <a:t>b</a:t>
          </a:r>
        </a:p>
      </cdr:txBody>
    </cdr:sp>
  </cdr:relSizeAnchor>
  <cdr:relSizeAnchor xmlns:cdr="http://schemas.openxmlformats.org/drawingml/2006/chartDrawing">
    <cdr:from>
      <cdr:x>0.94309</cdr:x>
      <cdr:y>0.50849</cdr:y>
    </cdr:from>
    <cdr:to>
      <cdr:x>1</cdr:x>
      <cdr:y>0.56839</cdr:y>
    </cdr:to>
    <cdr:sp macro="" textlink="">
      <cdr:nvSpPr>
        <cdr:cNvPr id="3" name="1 CuadroTexto"/>
        <cdr:cNvSpPr txBox="1"/>
      </cdr:nvSpPr>
      <cdr:spPr>
        <a:xfrm xmlns:a="http://schemas.openxmlformats.org/drawingml/2006/main">
          <a:off x="4419600" y="2479675"/>
          <a:ext cx="266700" cy="292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b="1"/>
            <a:t>a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142876</xdr:rowOff>
    </xdr:from>
    <xdr:to>
      <xdr:col>10</xdr:col>
      <xdr:colOff>666750</xdr:colOff>
      <xdr:row>14</xdr:row>
      <xdr:rowOff>0</xdr:rowOff>
    </xdr:to>
    <xdr:sp macro="" textlink="">
      <xdr:nvSpPr>
        <xdr:cNvPr id="12" name="11 CuadroTexto"/>
        <xdr:cNvSpPr txBox="1"/>
      </xdr:nvSpPr>
      <xdr:spPr>
        <a:xfrm>
          <a:off x="4676775" y="142876"/>
          <a:ext cx="3609975" cy="2524124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100">
              <a:solidFill>
                <a:sysClr val="windowText" lastClr="000000"/>
              </a:solidFill>
            </a:rPr>
            <a:t>In</a:t>
          </a:r>
          <a:r>
            <a:rPr lang="es-ES" sz="1100" baseline="0">
              <a:solidFill>
                <a:sysClr val="windowText" lastClr="000000"/>
              </a:solidFill>
            </a:rPr>
            <a:t> CIE L*C*H*, the three coordinates represent:</a:t>
          </a:r>
        </a:p>
        <a:p>
          <a:pPr algn="l"/>
          <a:endParaRPr lang="es-ES" sz="1100" baseline="0">
            <a:solidFill>
              <a:sysClr val="windowText" lastClr="000000"/>
            </a:solidFill>
          </a:endParaRPr>
        </a:p>
        <a:p>
          <a:pPr algn="l"/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L*</a:t>
          </a:r>
          <a:r>
            <a:rPr lang="es-ES" sz="1100" baseline="0">
              <a:solidFill>
                <a:sysClr val="windowText" lastClr="000000"/>
              </a:solidFill>
            </a:rPr>
            <a:t>: the brightness of the color. For black colors, L* must be near to 0, and for white colors, L* must be near to 100.</a:t>
          </a:r>
        </a:p>
        <a:p>
          <a:pPr algn="l"/>
          <a:endParaRPr lang="es-ES" sz="1100" baseline="0">
            <a:solidFill>
              <a:sysClr val="windowText" lastClr="000000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C*</a:t>
          </a:r>
          <a:r>
            <a:rPr lang="es-ES" sz="1100" baseline="0">
              <a:solidFill>
                <a:sysClr val="windowText" lastClr="000000"/>
              </a:solidFill>
            </a:rPr>
            <a:t>: the chroma or the colorfulness of the color. Graphically, it is the length of the dotted line, which relates the (a*, b*) point with the (0, 0) point. 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very intense colors, the C* must be near 100, and for grey ones it must be near 0. </a:t>
          </a:r>
          <a:endParaRPr lang="es-ES">
            <a:effectLst/>
          </a:endParaRPr>
        </a:p>
        <a:p>
          <a:pPr algn="l"/>
          <a:endParaRPr lang="es-ES" sz="1100" baseline="0">
            <a:solidFill>
              <a:sysClr val="windowText" lastClr="000000"/>
            </a:solidFill>
          </a:endParaRPr>
        </a:p>
        <a:p>
          <a:pPr algn="l" eaLnBrk="1" fontAlgn="auto" latinLnBrk="0" hangingPunct="1"/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s-E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H*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the hue of the color. Graphically, it is the angle that forms  the dotted line with the possitive x axis, which is represented by the dark sector. </a:t>
          </a:r>
          <a:endParaRPr lang="es-ES">
            <a:effectLst/>
          </a:endParaRPr>
        </a:p>
      </xdr:txBody>
    </xdr:sp>
    <xdr:clientData/>
  </xdr:twoCellAnchor>
  <xdr:twoCellAnchor>
    <xdr:from>
      <xdr:col>10</xdr:col>
      <xdr:colOff>600074</xdr:colOff>
      <xdr:row>0</xdr:row>
      <xdr:rowOff>147637</xdr:rowOff>
    </xdr:from>
    <xdr:to>
      <xdr:col>12</xdr:col>
      <xdr:colOff>628649</xdr:colOff>
      <xdr:row>26</xdr:row>
      <xdr:rowOff>66675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6</xdr:col>
      <xdr:colOff>227241</xdr:colOff>
      <xdr:row>26</xdr:row>
      <xdr:rowOff>84364</xdr:rowOff>
    </xdr:to>
    <xdr:grpSp>
      <xdr:nvGrpSpPr>
        <xdr:cNvPr id="14" name="13 Grupo"/>
        <xdr:cNvGrpSpPr/>
      </xdr:nvGrpSpPr>
      <xdr:grpSpPr>
        <a:xfrm>
          <a:off x="0" y="0"/>
          <a:ext cx="4799241" cy="5079697"/>
          <a:chOff x="7688034" y="1397427"/>
          <a:chExt cx="5419725" cy="5668762"/>
        </a:xfrm>
      </xdr:grpSpPr>
      <xdr:pic>
        <xdr:nvPicPr>
          <xdr:cNvPr id="15" name="14 Imagen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5000" b="95500" l="4000" r="9675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9633999">
            <a:off x="7688034" y="1646464"/>
            <a:ext cx="5419725" cy="5419725"/>
          </a:xfrm>
          <a:prstGeom prst="rect">
            <a:avLst/>
          </a:prstGeom>
        </xdr:spPr>
      </xdr:pic>
      <xdr:graphicFrame macro="">
        <xdr:nvGraphicFramePr>
          <xdr:cNvPr id="16" name="15 Gráfico"/>
          <xdr:cNvGraphicFramePr/>
        </xdr:nvGraphicFramePr>
        <xdr:xfrm>
          <a:off x="7740282" y="1397427"/>
          <a:ext cx="5292182" cy="54877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0.48984</cdr:x>
      <cdr:y>0.06836</cdr:y>
    </cdr:from>
    <cdr:to>
      <cdr:x>0.57317</cdr:x>
      <cdr:y>0.1211</cdr:y>
    </cdr:to>
    <cdr:sp macro="" textlink="">
      <cdr:nvSpPr>
        <cdr:cNvPr id="2" name="1 CuadroTexto"/>
        <cdr:cNvSpPr txBox="1"/>
      </cdr:nvSpPr>
      <cdr:spPr>
        <a:xfrm xmlns:a="http://schemas.openxmlformats.org/drawingml/2006/main">
          <a:off x="2295525" y="333375"/>
          <a:ext cx="3905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 b="1"/>
            <a:t>b</a:t>
          </a:r>
        </a:p>
      </cdr:txBody>
    </cdr:sp>
  </cdr:relSizeAnchor>
  <cdr:relSizeAnchor xmlns:cdr="http://schemas.openxmlformats.org/drawingml/2006/chartDrawing">
    <cdr:from>
      <cdr:x>0.94309</cdr:x>
      <cdr:y>0.50849</cdr:y>
    </cdr:from>
    <cdr:to>
      <cdr:x>1</cdr:x>
      <cdr:y>0.56839</cdr:y>
    </cdr:to>
    <cdr:sp macro="" textlink="">
      <cdr:nvSpPr>
        <cdr:cNvPr id="3" name="1 CuadroTexto"/>
        <cdr:cNvSpPr txBox="1"/>
      </cdr:nvSpPr>
      <cdr:spPr>
        <a:xfrm xmlns:a="http://schemas.openxmlformats.org/drawingml/2006/main">
          <a:off x="4419600" y="2479675"/>
          <a:ext cx="266700" cy="292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b="1"/>
            <a:t>a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0</xdr:row>
      <xdr:rowOff>142875</xdr:rowOff>
    </xdr:from>
    <xdr:to>
      <xdr:col>10</xdr:col>
      <xdr:colOff>514350</xdr:colOff>
      <xdr:row>11</xdr:row>
      <xdr:rowOff>104774</xdr:rowOff>
    </xdr:to>
    <xdr:sp macro="" textlink="">
      <xdr:nvSpPr>
        <xdr:cNvPr id="2" name="1 CuadroTexto"/>
        <xdr:cNvSpPr txBox="1"/>
      </xdr:nvSpPr>
      <xdr:spPr>
        <a:xfrm>
          <a:off x="4905375" y="142875"/>
          <a:ext cx="3228975" cy="2057399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>
              <a:solidFill>
                <a:sysClr val="windowText" lastClr="000000"/>
              </a:solidFill>
            </a:rPr>
            <a:t>In</a:t>
          </a:r>
          <a:r>
            <a:rPr lang="es-ES" sz="1100" baseline="0">
              <a:solidFill>
                <a:sysClr val="windowText" lastClr="000000"/>
              </a:solidFill>
            </a:rPr>
            <a:t> RGB, the three coordinates represent: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R</a:t>
          </a:r>
          <a:r>
            <a:rPr lang="es-ES" sz="1100" b="0" baseline="0">
              <a:solidFill>
                <a:sysClr val="windowText" lastClr="000000"/>
              </a:solidFill>
            </a:rPr>
            <a:t>: The red component of the color.</a:t>
          </a:r>
          <a:endParaRPr lang="es-ES" sz="1100" baseline="0">
            <a:solidFill>
              <a:sysClr val="windowText" lastClr="000000"/>
            </a:solidFill>
          </a:endParaRP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G</a:t>
          </a:r>
          <a:r>
            <a:rPr lang="es-ES" sz="1100" baseline="0">
              <a:solidFill>
                <a:sysClr val="windowText" lastClr="000000"/>
              </a:solidFill>
            </a:rPr>
            <a:t>: The green component of the color.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aseline="0">
              <a:solidFill>
                <a:sysClr val="windowText" lastClr="000000"/>
              </a:solidFill>
            </a:rPr>
            <a:t>-</a:t>
          </a:r>
          <a:r>
            <a:rPr lang="es-ES" sz="1100" b="1" baseline="0">
              <a:solidFill>
                <a:sysClr val="windowText" lastClr="000000"/>
              </a:solidFill>
            </a:rPr>
            <a:t>B</a:t>
          </a:r>
          <a:r>
            <a:rPr lang="es-ES" sz="1100" baseline="0">
              <a:solidFill>
                <a:sysClr val="windowText" lastClr="000000"/>
              </a:solidFill>
            </a:rPr>
            <a:t>: The blue component of the color.</a:t>
          </a:r>
        </a:p>
        <a:p>
          <a:endParaRPr lang="es-ES" sz="1100" baseline="0">
            <a:solidFill>
              <a:sysClr val="windowText" lastClr="000000"/>
            </a:solidFill>
            <a:effectLst/>
          </a:endParaRPr>
        </a:p>
        <a:p>
          <a:r>
            <a:rPr lang="es-ES" sz="1100" baseline="0">
              <a:solidFill>
                <a:sysClr val="windowText" lastClr="000000"/>
              </a:solidFill>
              <a:effectLst/>
            </a:rPr>
            <a:t>All colors can be expressed as a combination of this three components, that are commonly named as "primary colors".</a:t>
          </a:r>
          <a:endParaRPr lang="es-E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28575</xdr:colOff>
      <xdr:row>25</xdr:row>
      <xdr:rowOff>109538</xdr:rowOff>
    </xdr:to>
    <xdr:grpSp>
      <xdr:nvGrpSpPr>
        <xdr:cNvPr id="6" name="5 Grupo"/>
        <xdr:cNvGrpSpPr/>
      </xdr:nvGrpSpPr>
      <xdr:grpSpPr>
        <a:xfrm>
          <a:off x="0" y="0"/>
          <a:ext cx="3838575" cy="4914371"/>
          <a:chOff x="9906000" y="571500"/>
          <a:chExt cx="3838575" cy="4914371"/>
        </a:xfrm>
      </xdr:grpSpPr>
      <xdr:graphicFrame macro="">
        <xdr:nvGraphicFramePr>
          <xdr:cNvPr id="8" name="7 Gráfico"/>
          <xdr:cNvGraphicFramePr>
            <a:graphicFrameLocks/>
          </xdr:cNvGraphicFramePr>
        </xdr:nvGraphicFramePr>
        <xdr:xfrm>
          <a:off x="9906000" y="571500"/>
          <a:ext cx="1552575" cy="4914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9" name="8 Grupo"/>
          <xdr:cNvGrpSpPr/>
        </xdr:nvGrpSpPr>
        <xdr:grpSpPr>
          <a:xfrm>
            <a:off x="11306735" y="571500"/>
            <a:ext cx="2437840" cy="4914371"/>
            <a:chOff x="11430000" y="571500"/>
            <a:chExt cx="2437840" cy="4914371"/>
          </a:xfrm>
        </xdr:grpSpPr>
        <xdr:graphicFrame macro="">
          <xdr:nvGraphicFramePr>
            <xdr:cNvPr id="12" name="11 Gráfico"/>
            <xdr:cNvGraphicFramePr>
              <a:graphicFrameLocks/>
            </xdr:cNvGraphicFramePr>
          </xdr:nvGraphicFramePr>
          <xdr:xfrm>
            <a:off x="11430000" y="571500"/>
            <a:ext cx="1301562" cy="491437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13" name="12 Gráfico"/>
            <xdr:cNvGraphicFramePr>
              <a:graphicFrameLocks/>
            </xdr:cNvGraphicFramePr>
          </xdr:nvGraphicFramePr>
          <xdr:xfrm>
            <a:off x="12573000" y="571500"/>
            <a:ext cx="1294840" cy="491437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38100</xdr:rowOff>
    </xdr:from>
    <xdr:to>
      <xdr:col>12</xdr:col>
      <xdr:colOff>704850</xdr:colOff>
      <xdr:row>4</xdr:row>
      <xdr:rowOff>180975</xdr:rowOff>
    </xdr:to>
    <xdr:sp macro="" textlink="">
      <xdr:nvSpPr>
        <xdr:cNvPr id="6" name="5 CuadroTexto"/>
        <xdr:cNvSpPr txBox="1"/>
      </xdr:nvSpPr>
      <xdr:spPr>
        <a:xfrm>
          <a:off x="209550" y="419100"/>
          <a:ext cx="9639300" cy="523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/>
            <a:t>In this sheet, all</a:t>
          </a:r>
          <a:r>
            <a:rPr lang="es-ES" sz="2000" baseline="0"/>
            <a:t> color space's equations and all Microsoft Excel formulas are summarized.</a:t>
          </a:r>
          <a:endParaRPr lang="es-ES" sz="2000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13</xdr:col>
      <xdr:colOff>581025</xdr:colOff>
      <xdr:row>61</xdr:row>
      <xdr:rowOff>161925</xdr:rowOff>
    </xdr:to>
    <xdr:grpSp>
      <xdr:nvGrpSpPr>
        <xdr:cNvPr id="85" name="84 Grupo"/>
        <xdr:cNvGrpSpPr/>
      </xdr:nvGrpSpPr>
      <xdr:grpSpPr>
        <a:xfrm>
          <a:off x="4572000" y="10696575"/>
          <a:ext cx="5915025" cy="1114425"/>
          <a:chOff x="4191000" y="5553075"/>
          <a:chExt cx="5915025" cy="1114425"/>
        </a:xfrm>
      </xdr:grpSpPr>
      <xdr:grpSp>
        <xdr:nvGrpSpPr>
          <xdr:cNvPr id="86" name="85 Grupo"/>
          <xdr:cNvGrpSpPr/>
        </xdr:nvGrpSpPr>
        <xdr:grpSpPr>
          <a:xfrm>
            <a:off x="4191000" y="5553075"/>
            <a:ext cx="5915025" cy="1114425"/>
            <a:chOff x="4190999" y="1114425"/>
            <a:chExt cx="5915025" cy="1114425"/>
          </a:xfrm>
        </xdr:grpSpPr>
        <xdr:sp macro="" textlink="">
          <xdr:nvSpPr>
            <xdr:cNvPr id="89" name="88 CuadroTexto"/>
            <xdr:cNvSpPr txBox="1"/>
          </xdr:nvSpPr>
          <xdr:spPr>
            <a:xfrm>
              <a:off x="4295775" y="1190625"/>
              <a:ext cx="1771650" cy="3905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ES" sz="2000"/>
                <a:t>CIE LCH Model:</a:t>
              </a:r>
            </a:p>
          </xdr:txBody>
        </xdr:sp>
        <xdr:sp macro="" textlink="">
          <xdr:nvSpPr>
            <xdr:cNvPr id="90" name="89 Rectángulo"/>
            <xdr:cNvSpPr/>
          </xdr:nvSpPr>
          <xdr:spPr>
            <a:xfrm>
              <a:off x="4190999" y="1114425"/>
              <a:ext cx="5915025" cy="1114425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pic>
        <xdr:nvPicPr>
          <xdr:cNvPr id="87" name="86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5743575"/>
            <a:ext cx="1333500" cy="219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8" name="87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6124575"/>
            <a:ext cx="93345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0</xdr:colOff>
      <xdr:row>26</xdr:row>
      <xdr:rowOff>0</xdr:rowOff>
    </xdr:from>
    <xdr:to>
      <xdr:col>13</xdr:col>
      <xdr:colOff>581026</xdr:colOff>
      <xdr:row>53</xdr:row>
      <xdr:rowOff>0</xdr:rowOff>
    </xdr:to>
    <xdr:grpSp>
      <xdr:nvGrpSpPr>
        <xdr:cNvPr id="112" name="111 Grupo"/>
        <xdr:cNvGrpSpPr/>
      </xdr:nvGrpSpPr>
      <xdr:grpSpPr>
        <a:xfrm>
          <a:off x="4572000" y="4981575"/>
          <a:ext cx="5915026" cy="5143500"/>
          <a:chOff x="4190999" y="1114425"/>
          <a:chExt cx="5915026" cy="5143500"/>
        </a:xfrm>
      </xdr:grpSpPr>
      <xdr:grpSp>
        <xdr:nvGrpSpPr>
          <xdr:cNvPr id="113" name="112 Grupo"/>
          <xdr:cNvGrpSpPr/>
        </xdr:nvGrpSpPr>
        <xdr:grpSpPr>
          <a:xfrm>
            <a:off x="4190999" y="1114425"/>
            <a:ext cx="5915026" cy="5143500"/>
            <a:chOff x="4190999" y="1114425"/>
            <a:chExt cx="5915026" cy="5143500"/>
          </a:xfrm>
        </xdr:grpSpPr>
        <xdr:sp macro="" textlink="">
          <xdr:nvSpPr>
            <xdr:cNvPr id="122" name="121 CuadroTexto"/>
            <xdr:cNvSpPr txBox="1"/>
          </xdr:nvSpPr>
          <xdr:spPr>
            <a:xfrm>
              <a:off x="4295775" y="1190625"/>
              <a:ext cx="1771650" cy="3905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ES" sz="2000"/>
                <a:t>CIE Lab Model:</a:t>
              </a:r>
            </a:p>
          </xdr:txBody>
        </xdr:sp>
        <xdr:sp macro="" textlink="">
          <xdr:nvSpPr>
            <xdr:cNvPr id="123" name="122 Rectángulo"/>
            <xdr:cNvSpPr/>
          </xdr:nvSpPr>
          <xdr:spPr>
            <a:xfrm>
              <a:off x="4190999" y="1114425"/>
              <a:ext cx="5915026" cy="51435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sp macro="" textlink="">
        <xdr:nvSpPr>
          <xdr:cNvPr id="114" name="113 CuadroTexto"/>
          <xdr:cNvSpPr txBox="1"/>
        </xdr:nvSpPr>
        <xdr:spPr>
          <a:xfrm>
            <a:off x="8582025" y="5248276"/>
            <a:ext cx="1381125" cy="885824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/>
              <a:t>Xn= 94.8777</a:t>
            </a:r>
          </a:p>
          <a:p>
            <a:r>
              <a:rPr lang="es-ES" sz="1400"/>
              <a:t>Yn=</a:t>
            </a:r>
            <a:r>
              <a:rPr lang="es-ES" sz="1400" baseline="0"/>
              <a:t> 100.0000</a:t>
            </a:r>
          </a:p>
          <a:p>
            <a:r>
              <a:rPr lang="es-ES" sz="1400" baseline="0"/>
              <a:t>Zn= 107.3827</a:t>
            </a:r>
            <a:endParaRPr lang="es-ES" sz="1400"/>
          </a:p>
        </xdr:txBody>
      </xdr:sp>
      <xdr:pic>
        <xdr:nvPicPr>
          <xdr:cNvPr id="115" name="114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2000" y="4981575"/>
            <a:ext cx="3190875" cy="1019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6" name="115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2000" y="3838575"/>
            <a:ext cx="3152775" cy="1019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7" name="116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2000" y="2695575"/>
            <a:ext cx="3209925" cy="1019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8" name="117 CuadroTexto"/>
          <xdr:cNvSpPr txBox="1"/>
        </xdr:nvSpPr>
        <xdr:spPr>
          <a:xfrm>
            <a:off x="5019675" y="2352676"/>
            <a:ext cx="1381125" cy="2952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400"/>
              <a:t>Where:</a:t>
            </a:r>
          </a:p>
        </xdr:txBody>
      </xdr:sp>
      <xdr:pic>
        <xdr:nvPicPr>
          <xdr:cNvPr id="119" name="118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6000" y="1333500"/>
            <a:ext cx="1276350" cy="2000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0" name="119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6000" y="1724025"/>
            <a:ext cx="1543050" cy="2000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1" name="12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6000" y="2124075"/>
            <a:ext cx="1533525" cy="2000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0</xdr:colOff>
      <xdr:row>63</xdr:row>
      <xdr:rowOff>190499</xdr:rowOff>
    </xdr:from>
    <xdr:to>
      <xdr:col>13</xdr:col>
      <xdr:colOff>581025</xdr:colOff>
      <xdr:row>90</xdr:row>
      <xdr:rowOff>28574</xdr:rowOff>
    </xdr:to>
    <xdr:grpSp>
      <xdr:nvGrpSpPr>
        <xdr:cNvPr id="129" name="128 Grupo"/>
        <xdr:cNvGrpSpPr/>
      </xdr:nvGrpSpPr>
      <xdr:grpSpPr>
        <a:xfrm>
          <a:off x="4572000" y="12220574"/>
          <a:ext cx="5915025" cy="4981575"/>
          <a:chOff x="4572000" y="12220574"/>
          <a:chExt cx="5915025" cy="4981575"/>
        </a:xfrm>
      </xdr:grpSpPr>
      <xdr:grpSp>
        <xdr:nvGrpSpPr>
          <xdr:cNvPr id="74" name="73 Grupo"/>
          <xdr:cNvGrpSpPr/>
        </xdr:nvGrpSpPr>
        <xdr:grpSpPr>
          <a:xfrm>
            <a:off x="4572000" y="12220574"/>
            <a:ext cx="5915025" cy="4981575"/>
            <a:chOff x="4191000" y="6896099"/>
            <a:chExt cx="5915025" cy="4981575"/>
          </a:xfrm>
        </xdr:grpSpPr>
        <xdr:grpSp>
          <xdr:nvGrpSpPr>
            <xdr:cNvPr id="75" name="74 Grupo"/>
            <xdr:cNvGrpSpPr/>
          </xdr:nvGrpSpPr>
          <xdr:grpSpPr>
            <a:xfrm>
              <a:off x="4191000" y="6896099"/>
              <a:ext cx="5915025" cy="4981575"/>
              <a:chOff x="4190999" y="1114424"/>
              <a:chExt cx="5915025" cy="4981575"/>
            </a:xfrm>
          </xdr:grpSpPr>
          <xdr:sp macro="" textlink="">
            <xdr:nvSpPr>
              <xdr:cNvPr id="82" name="81 CuadroTexto"/>
              <xdr:cNvSpPr txBox="1"/>
            </xdr:nvSpPr>
            <xdr:spPr>
              <a:xfrm>
                <a:off x="4295775" y="1190625"/>
                <a:ext cx="1771650" cy="39052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s-ES" sz="2000"/>
                  <a:t>RGB Model:</a:t>
                </a:r>
              </a:p>
            </xdr:txBody>
          </xdr:sp>
          <xdr:sp macro="" textlink="">
            <xdr:nvSpPr>
              <xdr:cNvPr id="83" name="82 Rectángulo"/>
              <xdr:cNvSpPr/>
            </xdr:nvSpPr>
            <xdr:spPr>
              <a:xfrm>
                <a:off x="4190999" y="1114424"/>
                <a:ext cx="5915025" cy="4981575"/>
              </a:xfrm>
              <a:prstGeom prst="rect">
                <a:avLst/>
              </a:prstGeom>
              <a:noFill/>
              <a:ln w="190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/>
              </a:p>
            </xdr:txBody>
          </xdr:sp>
        </xdr:grpSp>
        <xdr:pic>
          <xdr:nvPicPr>
            <xdr:cNvPr id="76" name="75 Imagen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9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572000" y="7458075"/>
              <a:ext cx="3257550" cy="504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77" name="76 Imagen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572000" y="8220075"/>
              <a:ext cx="3257550" cy="504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78" name="77 Imagen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572000" y="8982075"/>
              <a:ext cx="3257550" cy="504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125" name="124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14900" y="16573500"/>
            <a:ext cx="245745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6" name="125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14900" y="16030575"/>
            <a:ext cx="2562225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7" name="126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15420975"/>
            <a:ext cx="245745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28" name="127 CuadroTexto"/>
          <xdr:cNvSpPr txBox="1"/>
        </xdr:nvSpPr>
        <xdr:spPr>
          <a:xfrm>
            <a:off x="5295900" y="15030450"/>
            <a:ext cx="1381125" cy="2952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400"/>
              <a:t>Where:</a:t>
            </a:r>
          </a:p>
        </xdr:txBody>
      </xdr:sp>
    </xdr:grpSp>
    <xdr:clientData/>
  </xdr:twoCellAnchor>
  <xdr:twoCellAnchor>
    <xdr:from>
      <xdr:col>6</xdr:col>
      <xdr:colOff>0</xdr:colOff>
      <xdr:row>11</xdr:row>
      <xdr:rowOff>0</xdr:rowOff>
    </xdr:from>
    <xdr:to>
      <xdr:col>13</xdr:col>
      <xdr:colOff>581025</xdr:colOff>
      <xdr:row>23</xdr:row>
      <xdr:rowOff>19050</xdr:rowOff>
    </xdr:to>
    <xdr:grpSp>
      <xdr:nvGrpSpPr>
        <xdr:cNvPr id="142" name="141 Grupo"/>
        <xdr:cNvGrpSpPr/>
      </xdr:nvGrpSpPr>
      <xdr:grpSpPr>
        <a:xfrm>
          <a:off x="4572000" y="2124075"/>
          <a:ext cx="5915025" cy="2305050"/>
          <a:chOff x="4191000" y="76200"/>
          <a:chExt cx="5915025" cy="2305050"/>
        </a:xfrm>
      </xdr:grpSpPr>
      <xdr:grpSp>
        <xdr:nvGrpSpPr>
          <xdr:cNvPr id="143" name="142 Grupo"/>
          <xdr:cNvGrpSpPr/>
        </xdr:nvGrpSpPr>
        <xdr:grpSpPr>
          <a:xfrm>
            <a:off x="4191000" y="76200"/>
            <a:ext cx="5915025" cy="2305050"/>
            <a:chOff x="4191000" y="76200"/>
            <a:chExt cx="5915025" cy="2305050"/>
          </a:xfrm>
        </xdr:grpSpPr>
        <xdr:pic>
          <xdr:nvPicPr>
            <xdr:cNvPr id="146" name="145 Imagen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5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096000" y="190500"/>
              <a:ext cx="790575" cy="5143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7" name="146 CuadroTexto"/>
            <xdr:cNvSpPr txBox="1"/>
          </xdr:nvSpPr>
          <xdr:spPr>
            <a:xfrm>
              <a:off x="4305300" y="276225"/>
              <a:ext cx="1419225" cy="3905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ES" sz="2000"/>
                <a:t>XYZ Model:</a:t>
              </a:r>
            </a:p>
          </xdr:txBody>
        </xdr:sp>
        <xdr:sp macro="" textlink="">
          <xdr:nvSpPr>
            <xdr:cNvPr id="148" name="147 Rectángulo"/>
            <xdr:cNvSpPr/>
          </xdr:nvSpPr>
          <xdr:spPr>
            <a:xfrm>
              <a:off x="4191000" y="76200"/>
              <a:ext cx="5915025" cy="230505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pic>
        <xdr:nvPicPr>
          <xdr:cNvPr id="144" name="143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6000" y="952500"/>
            <a:ext cx="762000" cy="514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5" name="144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6000" y="1724025"/>
            <a:ext cx="771525" cy="514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25"/>
  <sheetViews>
    <sheetView tabSelected="1" zoomScaleNormal="100" workbookViewId="0">
      <selection activeCell="J19" sqref="J19"/>
    </sheetView>
  </sheetViews>
  <sheetFormatPr baseColWidth="10" defaultRowHeight="15" x14ac:dyDescent="0.25"/>
  <cols>
    <col min="1" max="1" width="11.42578125" style="1"/>
  </cols>
  <sheetData>
    <row r="1" spans="1:9" x14ac:dyDescent="0.25">
      <c r="A1" s="91" t="s">
        <v>33</v>
      </c>
      <c r="B1" s="92"/>
      <c r="C1" s="92"/>
      <c r="D1" s="93"/>
      <c r="E1" s="29"/>
      <c r="F1" s="29"/>
      <c r="G1" s="29"/>
      <c r="H1" s="29"/>
      <c r="I1" s="39"/>
    </row>
    <row r="2" spans="1:9" ht="15" customHeight="1" thickBot="1" x14ac:dyDescent="0.3">
      <c r="A2" s="94"/>
      <c r="B2" s="95"/>
      <c r="C2" s="95"/>
      <c r="D2" s="96"/>
      <c r="E2" s="29"/>
      <c r="F2" s="29"/>
      <c r="G2" s="29"/>
      <c r="H2" s="29"/>
      <c r="I2" s="39"/>
    </row>
    <row r="3" spans="1:9" ht="15" customHeight="1" x14ac:dyDescent="0.25">
      <c r="A3" s="73" t="s">
        <v>32</v>
      </c>
      <c r="B3" s="74"/>
      <c r="C3" s="74"/>
      <c r="D3" s="75"/>
      <c r="E3" s="40"/>
      <c r="F3" s="40"/>
      <c r="G3" s="29"/>
      <c r="H3" s="48"/>
    </row>
    <row r="4" spans="1:9" x14ac:dyDescent="0.25">
      <c r="A4" s="76"/>
      <c r="B4" s="77"/>
      <c r="C4" s="77"/>
      <c r="D4" s="78"/>
      <c r="E4" s="40"/>
      <c r="F4" s="40"/>
      <c r="G4" s="29"/>
      <c r="H4" s="48"/>
    </row>
    <row r="5" spans="1:9" ht="15" customHeight="1" x14ac:dyDescent="0.25">
      <c r="A5" s="76"/>
      <c r="B5" s="77"/>
      <c r="C5" s="77"/>
      <c r="D5" s="78"/>
      <c r="E5" s="40"/>
      <c r="F5" s="40"/>
      <c r="G5" s="29"/>
      <c r="H5" s="48"/>
    </row>
    <row r="6" spans="1:9" ht="15.75" thickBot="1" x14ac:dyDescent="0.3">
      <c r="A6" s="79"/>
      <c r="B6" s="80"/>
      <c r="C6" s="80"/>
      <c r="D6" s="81"/>
      <c r="E6" s="40"/>
      <c r="F6" s="40"/>
      <c r="G6" s="29"/>
      <c r="H6" s="48"/>
    </row>
    <row r="7" spans="1:9" x14ac:dyDescent="0.25">
      <c r="A7" s="82"/>
      <c r="B7" s="83"/>
      <c r="C7" s="83"/>
      <c r="D7" s="84"/>
      <c r="E7" s="29"/>
      <c r="F7" s="29"/>
      <c r="G7" s="29"/>
      <c r="H7" s="48"/>
    </row>
    <row r="8" spans="1:9" x14ac:dyDescent="0.25">
      <c r="A8" s="85"/>
      <c r="B8" s="86"/>
      <c r="C8" s="86"/>
      <c r="D8" s="87"/>
      <c r="E8" s="29"/>
      <c r="F8" s="29"/>
      <c r="G8" s="29"/>
      <c r="H8" s="48"/>
    </row>
    <row r="9" spans="1:9" ht="15.75" thickBot="1" x14ac:dyDescent="0.3">
      <c r="A9" s="88"/>
      <c r="B9" s="89"/>
      <c r="C9" s="89"/>
      <c r="D9" s="90"/>
      <c r="E9" s="32"/>
      <c r="F9" s="32"/>
      <c r="G9" s="48"/>
      <c r="H9" s="48"/>
    </row>
    <row r="10" spans="1:9" ht="15.75" thickBot="1" x14ac:dyDescent="0.3">
      <c r="A10" s="3" t="s">
        <v>27</v>
      </c>
      <c r="B10" s="4"/>
      <c r="C10" s="5" t="s">
        <v>28</v>
      </c>
      <c r="D10" s="6"/>
      <c r="E10" s="66" t="s">
        <v>29</v>
      </c>
      <c r="F10" s="26"/>
      <c r="G10" s="26"/>
      <c r="H10" s="27"/>
    </row>
    <row r="11" spans="1:9" ht="15.75" thickBot="1" x14ac:dyDescent="0.3">
      <c r="A11" s="7"/>
      <c r="B11" s="8" t="s">
        <v>13</v>
      </c>
      <c r="C11" s="9" t="s">
        <v>14</v>
      </c>
      <c r="D11" s="10" t="s">
        <v>15</v>
      </c>
      <c r="E11" s="67" t="s">
        <v>0</v>
      </c>
      <c r="F11" s="29"/>
      <c r="G11" s="29"/>
      <c r="H11" s="30"/>
    </row>
    <row r="12" spans="1:9" x14ac:dyDescent="0.25">
      <c r="A12" s="11">
        <v>380</v>
      </c>
      <c r="B12" s="18">
        <v>4.3029551512666206E-4</v>
      </c>
      <c r="C12" s="19">
        <v>0</v>
      </c>
      <c r="D12" s="19">
        <v>1.5060343029433172E-3</v>
      </c>
      <c r="E12" s="68">
        <v>1.555579305</v>
      </c>
      <c r="F12" s="29"/>
      <c r="G12" s="29"/>
      <c r="H12" s="30"/>
    </row>
    <row r="13" spans="1:9" x14ac:dyDescent="0.25">
      <c r="A13" s="11">
        <v>385</v>
      </c>
      <c r="B13" s="18">
        <v>1.5753118808787096E-3</v>
      </c>
      <c r="C13" s="19">
        <v>2.2504455441124427E-4</v>
      </c>
      <c r="D13" s="19">
        <v>6.5262920779260826E-3</v>
      </c>
      <c r="E13" s="69">
        <v>1.9080714584999998</v>
      </c>
      <c r="F13" s="29"/>
      <c r="G13" s="29"/>
      <c r="H13" s="30"/>
    </row>
    <row r="14" spans="1:9" x14ac:dyDescent="0.25">
      <c r="A14" s="11">
        <v>390</v>
      </c>
      <c r="B14" s="18">
        <v>5.6385924302197795E-3</v>
      </c>
      <c r="C14" s="19">
        <v>7.0482405377747244E-4</v>
      </c>
      <c r="D14" s="19">
        <v>2.4668841882211537E-2</v>
      </c>
      <c r="E14" s="69">
        <v>2.2605636119999999</v>
      </c>
      <c r="F14" s="29"/>
      <c r="G14" s="29"/>
      <c r="H14" s="30"/>
    </row>
    <row r="15" spans="1:9" x14ac:dyDescent="0.25">
      <c r="A15" s="11">
        <v>395</v>
      </c>
      <c r="B15" s="18">
        <v>2.1284137360225212E-2</v>
      </c>
      <c r="C15" s="19">
        <v>2.364904151136135E-3</v>
      </c>
      <c r="D15" s="19">
        <v>9.548300510212146E-2</v>
      </c>
      <c r="E15" s="69">
        <v>2.5155603885</v>
      </c>
      <c r="F15" s="29"/>
      <c r="G15" s="29"/>
      <c r="H15" s="30"/>
    </row>
    <row r="16" spans="1:9" x14ac:dyDescent="0.25">
      <c r="A16" s="11">
        <v>400</v>
      </c>
      <c r="B16" s="18">
        <v>6.8050375126251339E-2</v>
      </c>
      <c r="C16" s="19">
        <v>7.1256937304975242E-3</v>
      </c>
      <c r="D16" s="19">
        <v>0.30640483041139349</v>
      </c>
      <c r="E16" s="69">
        <v>2.770557165</v>
      </c>
      <c r="F16" s="29"/>
      <c r="G16" s="29"/>
      <c r="H16" s="30"/>
    </row>
    <row r="17" spans="1:8" x14ac:dyDescent="0.25">
      <c r="A17" s="11">
        <v>405</v>
      </c>
      <c r="B17" s="18">
        <v>0.16265772885509003</v>
      </c>
      <c r="C17" s="19">
        <v>1.6865432715389518E-2</v>
      </c>
      <c r="D17" s="19">
        <v>0.73870595293406094</v>
      </c>
      <c r="E17" s="69">
        <v>3.2158365250000003</v>
      </c>
      <c r="F17" s="29"/>
      <c r="G17" s="29"/>
      <c r="H17" s="30"/>
    </row>
    <row r="18" spans="1:8" x14ac:dyDescent="0.25">
      <c r="A18" s="11">
        <v>410</v>
      </c>
      <c r="B18" s="18">
        <v>0.33348117570073871</v>
      </c>
      <c r="C18" s="19">
        <v>3.4647394877998831E-2</v>
      </c>
      <c r="D18" s="19">
        <v>1.5331472233514483</v>
      </c>
      <c r="E18" s="69">
        <v>3.6611158850000001</v>
      </c>
      <c r="F18" s="29"/>
      <c r="G18" s="29"/>
      <c r="H18" s="30"/>
    </row>
    <row r="19" spans="1:8" x14ac:dyDescent="0.25">
      <c r="A19" s="11">
        <v>415</v>
      </c>
      <c r="B19" s="18">
        <v>0.55962083219798031</v>
      </c>
      <c r="C19" s="19">
        <v>5.7713385966363551E-2</v>
      </c>
      <c r="D19" s="19">
        <v>2.6142173726005229</v>
      </c>
      <c r="E19" s="69">
        <v>4.2747803930000003</v>
      </c>
      <c r="F19" s="29"/>
      <c r="G19" s="29"/>
      <c r="H19" s="30"/>
    </row>
    <row r="20" spans="1:8" x14ac:dyDescent="0.25">
      <c r="A20" s="11">
        <v>420</v>
      </c>
      <c r="B20" s="18">
        <v>0.82187734275737834</v>
      </c>
      <c r="C20" s="19">
        <v>8.6005746381456707E-2</v>
      </c>
      <c r="D20" s="19">
        <v>3.9084387082227408</v>
      </c>
      <c r="E20" s="69">
        <v>4.8884449009999997</v>
      </c>
      <c r="F20" s="29"/>
      <c r="G20" s="29"/>
      <c r="H20" s="30"/>
    </row>
    <row r="21" spans="1:8" x14ac:dyDescent="0.25">
      <c r="A21" s="12">
        <v>425</v>
      </c>
      <c r="B21" s="20">
        <v>1.0262319979147871</v>
      </c>
      <c r="C21" s="21">
        <v>0.11437039644309113</v>
      </c>
      <c r="D21" s="21">
        <v>4.9722045233309959</v>
      </c>
      <c r="E21" s="70">
        <v>5.6918644910000005</v>
      </c>
      <c r="F21" s="29"/>
      <c r="G21" s="29"/>
      <c r="H21" s="30"/>
    </row>
    <row r="22" spans="1:8" x14ac:dyDescent="0.25">
      <c r="A22" s="11">
        <v>430</v>
      </c>
      <c r="B22" s="18">
        <v>1.174039367951826</v>
      </c>
      <c r="C22" s="19">
        <v>0.1443766238949338</v>
      </c>
      <c r="D22" s="19">
        <v>5.7955835974361678</v>
      </c>
      <c r="E22" s="71">
        <v>6.4952840810000003</v>
      </c>
      <c r="F22" s="29"/>
      <c r="G22" s="29"/>
      <c r="H22" s="30"/>
    </row>
    <row r="23" spans="1:8" x14ac:dyDescent="0.25">
      <c r="A23" s="11">
        <v>435</v>
      </c>
      <c r="B23" s="18">
        <v>1.4745220411885314</v>
      </c>
      <c r="C23" s="19">
        <v>0.20446265933170574</v>
      </c>
      <c r="D23" s="19">
        <v>7.4138325162917909</v>
      </c>
      <c r="E23" s="69">
        <v>7.4954600335000006</v>
      </c>
      <c r="F23" s="29"/>
      <c r="G23" s="29"/>
      <c r="H23" s="30"/>
    </row>
    <row r="24" spans="1:8" x14ac:dyDescent="0.25">
      <c r="A24" s="11">
        <v>440</v>
      </c>
      <c r="B24" s="18">
        <v>1.7319450422265115</v>
      </c>
      <c r="C24" s="19">
        <v>0.28030697712344638</v>
      </c>
      <c r="D24" s="19">
        <v>8.8799986488720783</v>
      </c>
      <c r="E24" s="69">
        <v>8.4956359859999999</v>
      </c>
      <c r="F24" s="29"/>
      <c r="G24" s="29"/>
      <c r="H24" s="30"/>
    </row>
    <row r="25" spans="1:8" x14ac:dyDescent="0.25">
      <c r="A25" s="11">
        <v>445</v>
      </c>
      <c r="B25" s="18">
        <v>1.8453236075072357</v>
      </c>
      <c r="C25" s="19">
        <v>0.35646670152777482</v>
      </c>
      <c r="D25" s="19">
        <v>9.6742295047825682</v>
      </c>
      <c r="E25" s="69">
        <v>9.6214580529999996</v>
      </c>
      <c r="F25" s="29"/>
      <c r="G25" s="29"/>
      <c r="H25" s="30"/>
    </row>
    <row r="26" spans="1:8" x14ac:dyDescent="0.25">
      <c r="A26" s="11">
        <v>450</v>
      </c>
      <c r="B26" s="18">
        <v>1.8662734052522074</v>
      </c>
      <c r="C26" s="19">
        <v>0.45058394866488416</v>
      </c>
      <c r="D26" s="19">
        <v>10.042735874823586</v>
      </c>
      <c r="E26" s="69">
        <v>10.747280119999999</v>
      </c>
      <c r="F26" s="29"/>
      <c r="G26" s="29"/>
      <c r="H26" s="30"/>
    </row>
    <row r="27" spans="1:8" x14ac:dyDescent="0.25">
      <c r="A27" s="11">
        <v>455</v>
      </c>
      <c r="B27" s="18">
        <v>1.7327225862223457</v>
      </c>
      <c r="C27" s="19">
        <v>0.53699245164849951</v>
      </c>
      <c r="D27" s="19">
        <v>9.6017079289586356</v>
      </c>
      <c r="E27" s="69">
        <v>12.123260975000001</v>
      </c>
      <c r="F27" s="29"/>
      <c r="G27" s="29"/>
      <c r="H27" s="30"/>
    </row>
    <row r="28" spans="1:8" x14ac:dyDescent="0.25">
      <c r="A28" s="11">
        <v>460</v>
      </c>
      <c r="B28" s="18">
        <v>1.5323227771444656</v>
      </c>
      <c r="C28" s="19">
        <v>0.64983056576222453</v>
      </c>
      <c r="D28" s="19">
        <v>8.8472251909624564</v>
      </c>
      <c r="E28" s="69">
        <v>13.499241830000001</v>
      </c>
      <c r="F28" s="29"/>
      <c r="G28" s="29"/>
      <c r="H28" s="30"/>
    </row>
    <row r="29" spans="1:8" x14ac:dyDescent="0.25">
      <c r="A29" s="11">
        <v>465</v>
      </c>
      <c r="B29" s="18">
        <v>1.2716019912785546</v>
      </c>
      <c r="C29" s="19">
        <v>0.7646626692930466</v>
      </c>
      <c r="D29" s="19">
        <v>7.7812433539512966</v>
      </c>
      <c r="E29" s="69">
        <v>14.897035120000002</v>
      </c>
      <c r="F29" s="29"/>
      <c r="G29" s="29"/>
      <c r="H29" s="30"/>
    </row>
    <row r="30" spans="1:8" x14ac:dyDescent="0.25">
      <c r="A30" s="11">
        <v>470</v>
      </c>
      <c r="B30" s="18">
        <v>0.96706507369832595</v>
      </c>
      <c r="C30" s="19">
        <v>0.91564648082275046</v>
      </c>
      <c r="D30" s="19">
        <v>6.5143401896979265</v>
      </c>
      <c r="E30" s="69">
        <v>16.294828410000001</v>
      </c>
      <c r="F30" s="29"/>
      <c r="G30" s="29"/>
      <c r="H30" s="30"/>
    </row>
    <row r="31" spans="1:8" x14ac:dyDescent="0.25">
      <c r="A31" s="12">
        <v>475</v>
      </c>
      <c r="B31" s="20">
        <v>0.65695023535551034</v>
      </c>
      <c r="C31" s="21">
        <v>1.0919376927791136</v>
      </c>
      <c r="D31" s="21">
        <v>5.1155716739474428</v>
      </c>
      <c r="E31" s="70">
        <v>17.660121915000001</v>
      </c>
      <c r="F31" s="29"/>
      <c r="G31" s="29"/>
      <c r="H31" s="30"/>
    </row>
    <row r="32" spans="1:8" x14ac:dyDescent="0.25">
      <c r="A32" s="11">
        <v>480</v>
      </c>
      <c r="B32" s="18">
        <v>0.40146356413560008</v>
      </c>
      <c r="C32" s="19">
        <v>1.2647349051526482</v>
      </c>
      <c r="D32" s="19">
        <v>3.8505592281875383</v>
      </c>
      <c r="E32" s="71">
        <v>19.025415420000002</v>
      </c>
      <c r="F32" s="29"/>
      <c r="G32" s="29"/>
      <c r="H32" s="30"/>
    </row>
    <row r="33" spans="1:8" x14ac:dyDescent="0.25">
      <c r="A33" s="11">
        <v>485</v>
      </c>
      <c r="B33" s="18">
        <v>0.19878103734997332</v>
      </c>
      <c r="C33" s="19">
        <v>1.4398324773500502</v>
      </c>
      <c r="D33" s="19">
        <v>2.7573009584725017</v>
      </c>
      <c r="E33" s="69">
        <v>21.159303665000003</v>
      </c>
      <c r="F33" s="29"/>
      <c r="G33" s="29"/>
      <c r="H33" s="30"/>
    </row>
    <row r="34" spans="1:8" x14ac:dyDescent="0.25">
      <c r="A34" s="11">
        <v>490</v>
      </c>
      <c r="B34" s="18">
        <v>7.5842166314164947E-2</v>
      </c>
      <c r="C34" s="19">
        <v>1.5875357158724281</v>
      </c>
      <c r="D34" s="19">
        <v>1.9442747944612782</v>
      </c>
      <c r="E34" s="69">
        <v>23.293191910000001</v>
      </c>
      <c r="F34" s="29"/>
      <c r="G34" s="29"/>
      <c r="H34" s="30"/>
    </row>
    <row r="35" spans="1:8" x14ac:dyDescent="0.25">
      <c r="A35" s="11">
        <v>495</v>
      </c>
      <c r="B35" s="18">
        <v>2.3942072757162602E-2</v>
      </c>
      <c r="C35" s="19">
        <v>1.8562148172906063</v>
      </c>
      <c r="D35" s="19">
        <v>1.4196240787776413</v>
      </c>
      <c r="E35" s="69">
        <v>26.365994454999999</v>
      </c>
      <c r="F35" s="29"/>
      <c r="G35" s="29"/>
      <c r="H35" s="30"/>
    </row>
    <row r="36" spans="1:8" x14ac:dyDescent="0.25">
      <c r="A36" s="11">
        <v>500</v>
      </c>
      <c r="B36" s="18">
        <v>1.7888245154845599E-2</v>
      </c>
      <c r="C36" s="19">
        <v>2.1691850966718027</v>
      </c>
      <c r="D36" s="19">
        <v>1.0285740964036219</v>
      </c>
      <c r="E36" s="69">
        <v>29.438797000000001</v>
      </c>
      <c r="F36" s="29"/>
      <c r="G36" s="29"/>
      <c r="H36" s="30"/>
    </row>
    <row r="37" spans="1:8" x14ac:dyDescent="0.25">
      <c r="A37" s="11">
        <v>505</v>
      </c>
      <c r="B37" s="18">
        <v>7.1964343131843467E-2</v>
      </c>
      <c r="C37" s="19">
        <v>2.4832371389780268</v>
      </c>
      <c r="D37" s="19">
        <v>0.74394307964866757</v>
      </c>
      <c r="E37" s="69">
        <v>32.616159440000004</v>
      </c>
      <c r="F37" s="29"/>
      <c r="G37" s="29"/>
      <c r="H37" s="30"/>
    </row>
    <row r="38" spans="1:8" x14ac:dyDescent="0.25">
      <c r="A38" s="11">
        <v>510</v>
      </c>
      <c r="B38" s="18">
        <v>0.17394696198995313</v>
      </c>
      <c r="C38" s="19">
        <v>2.8142299157147885</v>
      </c>
      <c r="D38" s="19">
        <v>0.5195215931433268</v>
      </c>
      <c r="E38" s="69">
        <v>35.79352188</v>
      </c>
      <c r="F38" s="29"/>
      <c r="G38" s="29"/>
      <c r="H38" s="30"/>
    </row>
    <row r="39" spans="1:8" x14ac:dyDescent="0.25">
      <c r="A39" s="11">
        <v>515</v>
      </c>
      <c r="B39" s="18">
        <v>0.32658655066186426</v>
      </c>
      <c r="C39" s="19">
        <v>3.1364201370986038</v>
      </c>
      <c r="D39" s="19">
        <v>0.37598619698046554</v>
      </c>
      <c r="E39" s="69">
        <v>39.017902374999998</v>
      </c>
      <c r="F39" s="29"/>
      <c r="G39" s="29"/>
      <c r="H39" s="30"/>
    </row>
    <row r="40" spans="1:8" x14ac:dyDescent="0.25">
      <c r="A40" s="11">
        <v>520</v>
      </c>
      <c r="B40" s="18">
        <v>0.53076779672667707</v>
      </c>
      <c r="C40" s="19">
        <v>3.4353348134781876</v>
      </c>
      <c r="D40" s="19">
        <v>0.27372646781061427</v>
      </c>
      <c r="E40" s="69">
        <v>42.242282869999997</v>
      </c>
      <c r="F40" s="29"/>
      <c r="G40" s="29"/>
      <c r="H40" s="30"/>
    </row>
    <row r="41" spans="1:8" x14ac:dyDescent="0.25">
      <c r="A41" s="12">
        <v>525</v>
      </c>
      <c r="B41" s="20">
        <v>0.7905647381216111</v>
      </c>
      <c r="C41" s="21">
        <v>3.7622656005521531</v>
      </c>
      <c r="D41" s="21">
        <v>0.196955723774806</v>
      </c>
      <c r="E41" s="70">
        <v>45.3849144</v>
      </c>
      <c r="F41" s="29"/>
      <c r="G41" s="29"/>
      <c r="H41" s="30"/>
    </row>
    <row r="42" spans="1:8" x14ac:dyDescent="0.25">
      <c r="A42" s="11">
        <v>530</v>
      </c>
      <c r="B42" s="18">
        <v>1.0960078580566965</v>
      </c>
      <c r="C42" s="19">
        <v>4.0559242172144643</v>
      </c>
      <c r="D42" s="19">
        <v>0.14134562228638159</v>
      </c>
      <c r="E42" s="71">
        <v>48.527545930000002</v>
      </c>
      <c r="F42" s="29"/>
      <c r="G42" s="29"/>
      <c r="H42" s="30"/>
    </row>
    <row r="43" spans="1:8" x14ac:dyDescent="0.25">
      <c r="A43" s="11">
        <v>535</v>
      </c>
      <c r="B43" s="18">
        <v>1.3874964944362245</v>
      </c>
      <c r="C43" s="19">
        <v>4.2135741668645101</v>
      </c>
      <c r="D43" s="19">
        <v>9.3959328683057938E-2</v>
      </c>
      <c r="E43" s="69">
        <v>51.501441955000004</v>
      </c>
      <c r="F43" s="29"/>
      <c r="G43" s="29"/>
      <c r="H43" s="30"/>
    </row>
    <row r="44" spans="1:8" x14ac:dyDescent="0.25">
      <c r="A44" s="11">
        <v>540</v>
      </c>
      <c r="B44" s="18">
        <v>1.6926930550411423</v>
      </c>
      <c r="C44" s="19">
        <v>4.3215783411613025</v>
      </c>
      <c r="D44" s="19">
        <v>6.1544306937536229E-2</v>
      </c>
      <c r="E44" s="69">
        <v>54.475337979999999</v>
      </c>
      <c r="F44" s="29"/>
      <c r="G44" s="29"/>
      <c r="H44" s="30"/>
    </row>
    <row r="45" spans="1:8" x14ac:dyDescent="0.25">
      <c r="A45" s="11">
        <v>545</v>
      </c>
      <c r="B45" s="18">
        <v>2.0248295572571102</v>
      </c>
      <c r="C45" s="19">
        <v>4.4038697766561858</v>
      </c>
      <c r="D45" s="19">
        <v>3.5421066214196571E-2</v>
      </c>
      <c r="E45" s="69">
        <v>56.984292984999996</v>
      </c>
      <c r="F45" s="29"/>
      <c r="G45" s="29"/>
      <c r="H45" s="30"/>
    </row>
    <row r="46" spans="1:8" x14ac:dyDescent="0.25">
      <c r="A46" s="11">
        <v>550</v>
      </c>
      <c r="B46" s="18">
        <v>2.3708938647066979</v>
      </c>
      <c r="C46" s="19">
        <v>4.4383777557872834</v>
      </c>
      <c r="D46" s="19">
        <v>1.7900293429269142E-2</v>
      </c>
      <c r="E46" s="69">
        <v>59.49324799</v>
      </c>
      <c r="F46" s="29"/>
      <c r="G46" s="29"/>
      <c r="H46" s="30"/>
    </row>
    <row r="47" spans="1:8" x14ac:dyDescent="0.25">
      <c r="A47" s="11">
        <v>555</v>
      </c>
      <c r="B47" s="18">
        <v>2.7040716820692721</v>
      </c>
      <c r="C47" s="19">
        <v>4.38506414146309</v>
      </c>
      <c r="D47" s="19">
        <v>4.8279156797211486E-3</v>
      </c>
      <c r="E47" s="69">
        <v>61.419012070000001</v>
      </c>
      <c r="F47" s="29"/>
      <c r="G47" s="29"/>
      <c r="H47" s="30"/>
    </row>
    <row r="48" spans="1:8" x14ac:dyDescent="0.25">
      <c r="A48" s="11">
        <v>560</v>
      </c>
      <c r="B48" s="18">
        <v>3.0344439726732215</v>
      </c>
      <c r="C48" s="19">
        <v>4.2913371723582001</v>
      </c>
      <c r="D48" s="19">
        <v>0</v>
      </c>
      <c r="E48" s="69">
        <v>63.344776150000001</v>
      </c>
      <c r="F48" s="29"/>
      <c r="G48" s="29"/>
      <c r="H48" s="30"/>
    </row>
    <row r="49" spans="1:8" x14ac:dyDescent="0.25">
      <c r="A49" s="11">
        <v>565</v>
      </c>
      <c r="B49" s="18">
        <v>3.3542034546920858</v>
      </c>
      <c r="C49" s="19">
        <v>4.1511331240734508</v>
      </c>
      <c r="D49" s="19">
        <v>0</v>
      </c>
      <c r="E49" s="69">
        <v>64.773477554999999</v>
      </c>
      <c r="F49" s="29"/>
      <c r="G49" s="29"/>
      <c r="H49" s="30"/>
    </row>
    <row r="50" spans="1:8" x14ac:dyDescent="0.25">
      <c r="A50" s="11">
        <v>570</v>
      </c>
      <c r="B50" s="18">
        <v>3.6411094438355143</v>
      </c>
      <c r="C50" s="19">
        <v>3.9597634966760187</v>
      </c>
      <c r="D50" s="19">
        <v>0</v>
      </c>
      <c r="E50" s="69">
        <v>66.202178959999998</v>
      </c>
      <c r="F50" s="29"/>
      <c r="G50" s="29"/>
      <c r="H50" s="30"/>
    </row>
    <row r="51" spans="1:8" x14ac:dyDescent="0.25">
      <c r="A51" s="12">
        <v>575</v>
      </c>
      <c r="B51" s="20">
        <v>3.9333450732293018</v>
      </c>
      <c r="C51" s="21">
        <v>3.7844800368160816</v>
      </c>
      <c r="D51" s="21">
        <v>0</v>
      </c>
      <c r="E51" s="70">
        <v>67.702667239999997</v>
      </c>
      <c r="F51" s="29"/>
      <c r="G51" s="29"/>
      <c r="H51" s="30"/>
    </row>
    <row r="52" spans="1:8" x14ac:dyDescent="0.25">
      <c r="A52" s="11">
        <v>580</v>
      </c>
      <c r="B52" s="18">
        <v>4.1807667156091934</v>
      </c>
      <c r="C52" s="19">
        <v>3.5818065462362725</v>
      </c>
      <c r="D52" s="19">
        <v>0</v>
      </c>
      <c r="E52" s="71">
        <v>69.203155519999996</v>
      </c>
      <c r="F52" s="29"/>
      <c r="G52" s="29"/>
      <c r="H52" s="30"/>
    </row>
    <row r="53" spans="1:8" x14ac:dyDescent="0.25">
      <c r="A53" s="11">
        <v>585</v>
      </c>
      <c r="B53" s="18">
        <v>4.2620968709232834</v>
      </c>
      <c r="C53" s="19">
        <v>3.2754232306006359</v>
      </c>
      <c r="D53" s="19">
        <v>0</v>
      </c>
      <c r="E53" s="69">
        <v>71.409351349999994</v>
      </c>
      <c r="F53" s="29"/>
      <c r="G53" s="29"/>
      <c r="H53" s="30"/>
    </row>
    <row r="54" spans="1:8" x14ac:dyDescent="0.25">
      <c r="A54" s="11">
        <v>590</v>
      </c>
      <c r="B54" s="18">
        <v>4.2690026836455521</v>
      </c>
      <c r="C54" s="19">
        <v>2.9671190757854733</v>
      </c>
      <c r="D54" s="19">
        <v>0</v>
      </c>
      <c r="E54" s="69">
        <v>73.615547179999993</v>
      </c>
      <c r="F54" s="29"/>
      <c r="G54" s="29"/>
      <c r="H54" s="30"/>
    </row>
    <row r="55" spans="1:8" x14ac:dyDescent="0.25">
      <c r="A55" s="11">
        <v>595</v>
      </c>
      <c r="B55" s="18">
        <v>4.3585919310769832</v>
      </c>
      <c r="C55" s="19">
        <v>2.7681650596384193</v>
      </c>
      <c r="D55" s="19">
        <v>0</v>
      </c>
      <c r="E55" s="69">
        <v>76.284912109999993</v>
      </c>
      <c r="F55" s="29"/>
      <c r="G55" s="29"/>
      <c r="H55" s="30"/>
    </row>
    <row r="56" spans="1:8" x14ac:dyDescent="0.25">
      <c r="A56" s="11">
        <v>600</v>
      </c>
      <c r="B56" s="18">
        <v>4.3528694310213139</v>
      </c>
      <c r="C56" s="19">
        <v>2.5493718384709347</v>
      </c>
      <c r="D56" s="19">
        <v>0</v>
      </c>
      <c r="E56" s="69">
        <v>78.954277039999994</v>
      </c>
      <c r="F56" s="29"/>
      <c r="G56" s="29"/>
      <c r="H56" s="30"/>
    </row>
    <row r="57" spans="1:8" x14ac:dyDescent="0.25">
      <c r="A57" s="11">
        <v>605</v>
      </c>
      <c r="B57" s="18">
        <v>4.2083409128095397</v>
      </c>
      <c r="C57" s="19">
        <v>2.2948615077748471</v>
      </c>
      <c r="D57" s="19">
        <v>0</v>
      </c>
      <c r="E57" s="69">
        <v>81.196975710000004</v>
      </c>
      <c r="F57" s="29"/>
      <c r="G57" s="29"/>
      <c r="H57" s="30"/>
    </row>
    <row r="58" spans="1:8" x14ac:dyDescent="0.25">
      <c r="A58" s="11">
        <v>610</v>
      </c>
      <c r="B58" s="18">
        <v>3.973038973908706</v>
      </c>
      <c r="C58" s="19">
        <v>2.0356764466024231</v>
      </c>
      <c r="D58" s="19">
        <v>0</v>
      </c>
      <c r="E58" s="69">
        <v>83.43967438</v>
      </c>
      <c r="F58" s="29"/>
      <c r="G58" s="29"/>
      <c r="H58" s="30"/>
    </row>
    <row r="59" spans="1:8" x14ac:dyDescent="0.25">
      <c r="A59" s="11">
        <v>615</v>
      </c>
      <c r="B59" s="18">
        <v>3.6244660436059299</v>
      </c>
      <c r="C59" s="19">
        <v>1.7605747543254637</v>
      </c>
      <c r="D59" s="19">
        <v>0</v>
      </c>
      <c r="E59" s="69">
        <v>85.101810454999992</v>
      </c>
      <c r="F59" s="29"/>
      <c r="G59" s="29"/>
      <c r="H59" s="30"/>
    </row>
    <row r="60" spans="1:8" x14ac:dyDescent="0.25">
      <c r="A60" s="11">
        <v>620</v>
      </c>
      <c r="B60" s="18">
        <v>3.2314121750179656</v>
      </c>
      <c r="C60" s="19">
        <v>1.5023066528957749</v>
      </c>
      <c r="D60" s="19">
        <v>0</v>
      </c>
      <c r="E60" s="69">
        <v>86.763946529999998</v>
      </c>
      <c r="F60" s="29"/>
      <c r="G60" s="29"/>
      <c r="H60" s="30"/>
    </row>
    <row r="61" spans="1:8" x14ac:dyDescent="0.25">
      <c r="A61" s="12">
        <v>625</v>
      </c>
      <c r="B61" s="20">
        <v>2.7772972213559517</v>
      </c>
      <c r="C61" s="21">
        <v>1.2493974518114734</v>
      </c>
      <c r="D61" s="21">
        <v>0</v>
      </c>
      <c r="E61" s="70">
        <v>87.771404265000001</v>
      </c>
      <c r="F61" s="29"/>
      <c r="G61" s="29"/>
      <c r="H61" s="30"/>
    </row>
    <row r="62" spans="1:8" x14ac:dyDescent="0.25">
      <c r="A62" s="11">
        <v>630</v>
      </c>
      <c r="B62" s="18">
        <v>2.3208741625507989</v>
      </c>
      <c r="C62" s="19">
        <v>1.0161665252249443</v>
      </c>
      <c r="D62" s="19">
        <v>0</v>
      </c>
      <c r="E62" s="71">
        <v>88.778862000000004</v>
      </c>
      <c r="F62" s="29"/>
      <c r="G62" s="29"/>
      <c r="H62" s="30"/>
    </row>
    <row r="63" spans="1:8" x14ac:dyDescent="0.25">
      <c r="A63" s="11">
        <v>635</v>
      </c>
      <c r="B63" s="18">
        <v>1.922596936704712</v>
      </c>
      <c r="C63" s="19">
        <v>0.82027449196353153</v>
      </c>
      <c r="D63" s="19">
        <v>0</v>
      </c>
      <c r="E63" s="69">
        <v>89.574863434999997</v>
      </c>
      <c r="F63" s="29"/>
      <c r="G63" s="29"/>
      <c r="H63" s="30"/>
    </row>
    <row r="64" spans="1:8" x14ac:dyDescent="0.25">
      <c r="A64" s="11">
        <v>640</v>
      </c>
      <c r="B64" s="18">
        <v>1.5544391060309459</v>
      </c>
      <c r="C64" s="19">
        <v>0.64756290839750708</v>
      </c>
      <c r="D64" s="19">
        <v>0</v>
      </c>
      <c r="E64" s="69">
        <v>90.370864870000005</v>
      </c>
      <c r="F64" s="29"/>
      <c r="G64" s="29"/>
      <c r="H64" s="30"/>
    </row>
    <row r="65" spans="1:8" x14ac:dyDescent="0.25">
      <c r="A65" s="11">
        <v>645</v>
      </c>
      <c r="B65" s="18">
        <v>1.2112401364165866</v>
      </c>
      <c r="C65" s="19">
        <v>0.49408166169800827</v>
      </c>
      <c r="D65" s="19">
        <v>0</v>
      </c>
      <c r="E65" s="69">
        <v>90.961032869999997</v>
      </c>
      <c r="F65" s="29"/>
      <c r="G65" s="29"/>
      <c r="H65" s="30"/>
    </row>
    <row r="66" spans="1:8" x14ac:dyDescent="0.25">
      <c r="A66" s="11">
        <v>650</v>
      </c>
      <c r="B66" s="18">
        <v>0.92358629366786738</v>
      </c>
      <c r="C66" s="19">
        <v>0.37039837942103071</v>
      </c>
      <c r="D66" s="19">
        <v>0</v>
      </c>
      <c r="E66" s="69">
        <v>91.551200870000002</v>
      </c>
      <c r="F66" s="29"/>
      <c r="G66" s="29"/>
      <c r="H66" s="30"/>
    </row>
    <row r="67" spans="1:8" x14ac:dyDescent="0.25">
      <c r="A67" s="11">
        <v>655</v>
      </c>
      <c r="B67" s="18">
        <v>0.7041540836604202</v>
      </c>
      <c r="C67" s="19">
        <v>0.27986936658456252</v>
      </c>
      <c r="D67" s="19">
        <v>0</v>
      </c>
      <c r="E67" s="69">
        <v>91.958118439999993</v>
      </c>
      <c r="F67" s="29"/>
      <c r="G67" s="29"/>
      <c r="H67" s="30"/>
    </row>
    <row r="68" spans="1:8" x14ac:dyDescent="0.25">
      <c r="A68" s="11">
        <v>660</v>
      </c>
      <c r="B68" s="18">
        <v>0.52661802677879566</v>
      </c>
      <c r="C68" s="19">
        <v>0.20809349288834453</v>
      </c>
      <c r="D68" s="19">
        <v>0</v>
      </c>
      <c r="E68" s="69">
        <v>92.365036009999997</v>
      </c>
      <c r="F68" s="29"/>
      <c r="G68" s="29"/>
      <c r="H68" s="30"/>
    </row>
    <row r="69" spans="1:8" x14ac:dyDescent="0.25">
      <c r="A69" s="11">
        <v>665</v>
      </c>
      <c r="B69" s="18">
        <v>0.39202675319335728</v>
      </c>
      <c r="C69" s="19">
        <v>0.15408538160273669</v>
      </c>
      <c r="D69" s="19">
        <v>0</v>
      </c>
      <c r="E69" s="69">
        <v>92.782985685</v>
      </c>
      <c r="F69" s="29"/>
      <c r="G69" s="29"/>
      <c r="H69" s="30"/>
    </row>
    <row r="70" spans="1:8" x14ac:dyDescent="0.25">
      <c r="A70" s="11">
        <v>670</v>
      </c>
      <c r="B70" s="18">
        <v>0.28791029887573444</v>
      </c>
      <c r="C70" s="19">
        <v>0.11261436044585924</v>
      </c>
      <c r="D70" s="19">
        <v>0</v>
      </c>
      <c r="E70" s="69">
        <v>93.200935360000003</v>
      </c>
      <c r="F70" s="29"/>
      <c r="G70" s="29"/>
      <c r="H70" s="30"/>
    </row>
    <row r="71" spans="1:8" x14ac:dyDescent="0.25">
      <c r="A71" s="12">
        <v>675</v>
      </c>
      <c r="B71" s="20">
        <v>0.20006030591644489</v>
      </c>
      <c r="C71" s="21">
        <v>7.8089169494156369E-2</v>
      </c>
      <c r="D71" s="21">
        <v>0</v>
      </c>
      <c r="E71" s="70">
        <v>93.686748504999997</v>
      </c>
      <c r="F71" s="29"/>
      <c r="G71" s="29"/>
      <c r="H71" s="30"/>
    </row>
    <row r="72" spans="1:8" x14ac:dyDescent="0.25">
      <c r="A72" s="11">
        <v>680</v>
      </c>
      <c r="B72" s="18">
        <v>0.13780084783276814</v>
      </c>
      <c r="C72" s="19">
        <v>5.3570500746724051E-2</v>
      </c>
      <c r="D72" s="19">
        <v>0</v>
      </c>
      <c r="E72" s="71">
        <v>94.172561650000006</v>
      </c>
      <c r="F72" s="29"/>
      <c r="G72" s="29"/>
      <c r="H72" s="30"/>
    </row>
    <row r="73" spans="1:8" x14ac:dyDescent="0.25">
      <c r="A73" s="11">
        <v>685</v>
      </c>
      <c r="B73" s="18">
        <v>9.1067742821406769E-2</v>
      </c>
      <c r="C73" s="19">
        <v>3.5344473612504021E-2</v>
      </c>
      <c r="D73" s="19">
        <v>0</v>
      </c>
      <c r="E73" s="69">
        <v>94.432086945000009</v>
      </c>
      <c r="F73" s="29"/>
      <c r="G73" s="29"/>
      <c r="H73" s="30"/>
    </row>
    <row r="74" spans="1:8" x14ac:dyDescent="0.25">
      <c r="A74" s="11">
        <v>690</v>
      </c>
      <c r="B74" s="18">
        <v>5.9683278834613419E-2</v>
      </c>
      <c r="C74" s="19">
        <v>2.3093530001332827E-2</v>
      </c>
      <c r="D74" s="19">
        <v>0</v>
      </c>
      <c r="E74" s="69">
        <v>94.691612239999998</v>
      </c>
      <c r="F74" s="29"/>
      <c r="G74" s="29"/>
      <c r="H74" s="30"/>
    </row>
    <row r="75" spans="1:8" x14ac:dyDescent="0.25">
      <c r="A75" s="11">
        <v>695</v>
      </c>
      <c r="B75" s="18">
        <v>4.1982212228847911E-2</v>
      </c>
      <c r="C75" s="19">
        <v>1.6427822176505704E-2</v>
      </c>
      <c r="D75" s="19">
        <v>0</v>
      </c>
      <c r="E75" s="69">
        <v>95.039642329999992</v>
      </c>
      <c r="F75" s="29"/>
      <c r="G75" s="29"/>
      <c r="H75" s="30"/>
    </row>
    <row r="76" spans="1:8" x14ac:dyDescent="0.25">
      <c r="A76" s="11">
        <v>700</v>
      </c>
      <c r="B76" s="18">
        <v>2.9576792527746237E-2</v>
      </c>
      <c r="C76" s="19">
        <v>1.1399388786735531E-2</v>
      </c>
      <c r="D76" s="19">
        <v>0</v>
      </c>
      <c r="E76" s="69">
        <v>95.387672420000001</v>
      </c>
      <c r="F76" s="29"/>
      <c r="G76" s="29"/>
      <c r="H76" s="30"/>
    </row>
    <row r="77" spans="1:8" x14ac:dyDescent="0.25">
      <c r="A77" s="11">
        <v>705</v>
      </c>
      <c r="B77" s="18">
        <v>2.073163791880258E-2</v>
      </c>
      <c r="C77" s="19">
        <v>8.1670088771040455E-3</v>
      </c>
      <c r="D77" s="19">
        <v>0</v>
      </c>
      <c r="E77" s="69">
        <v>95.637027740000008</v>
      </c>
      <c r="F77" s="29"/>
      <c r="G77" s="29"/>
      <c r="H77" s="30"/>
    </row>
    <row r="78" spans="1:8" x14ac:dyDescent="0.25">
      <c r="A78" s="11">
        <v>710</v>
      </c>
      <c r="B78" s="18">
        <v>1.4706640115999056E-2</v>
      </c>
      <c r="C78" s="19">
        <v>5.7547722193039786E-3</v>
      </c>
      <c r="D78" s="19">
        <v>0</v>
      </c>
      <c r="E78" s="69">
        <v>95.88638306</v>
      </c>
      <c r="F78" s="29"/>
      <c r="G78" s="29"/>
      <c r="H78" s="30"/>
    </row>
    <row r="79" spans="1:8" x14ac:dyDescent="0.25">
      <c r="A79" s="11">
        <v>715</v>
      </c>
      <c r="B79" s="18">
        <v>9.0706294588700359E-3</v>
      </c>
      <c r="C79" s="19">
        <v>3.5112114034335624E-3</v>
      </c>
      <c r="D79" s="19">
        <v>0</v>
      </c>
      <c r="E79" s="69">
        <v>96.115837099999993</v>
      </c>
      <c r="F79" s="29"/>
      <c r="G79" s="29"/>
      <c r="H79" s="30"/>
    </row>
    <row r="80" spans="1:8" x14ac:dyDescent="0.25">
      <c r="A80" s="11">
        <v>720</v>
      </c>
      <c r="B80" s="18">
        <v>5.8313648209965246E-3</v>
      </c>
      <c r="C80" s="19">
        <v>2.120496298544191E-3</v>
      </c>
      <c r="D80" s="19">
        <v>0</v>
      </c>
      <c r="E80" s="69">
        <v>96.34529114</v>
      </c>
      <c r="F80" s="29"/>
      <c r="G80" s="29"/>
      <c r="H80" s="30"/>
    </row>
    <row r="81" spans="1:8" x14ac:dyDescent="0.25">
      <c r="A81" s="12">
        <v>725</v>
      </c>
      <c r="B81" s="20">
        <v>4.2405623015732549E-3</v>
      </c>
      <c r="C81" s="21">
        <v>1.6962249206293018E-3</v>
      </c>
      <c r="D81" s="21">
        <v>0</v>
      </c>
      <c r="E81" s="70">
        <v>96.657688140000005</v>
      </c>
      <c r="F81" s="29"/>
      <c r="G81" s="29"/>
      <c r="H81" s="30"/>
    </row>
    <row r="82" spans="1:8" x14ac:dyDescent="0.25">
      <c r="A82" s="11">
        <v>730</v>
      </c>
      <c r="B82" s="18">
        <v>3.0077656507353679E-3</v>
      </c>
      <c r="C82" s="19">
        <v>1.2031062602941474E-3</v>
      </c>
      <c r="D82" s="19">
        <v>0</v>
      </c>
      <c r="E82" s="71">
        <v>96.970085139999995</v>
      </c>
      <c r="F82" s="29"/>
      <c r="G82" s="29"/>
      <c r="H82" s="30"/>
    </row>
    <row r="83" spans="1:8" x14ac:dyDescent="0.25">
      <c r="A83" s="11">
        <v>735</v>
      </c>
      <c r="B83" s="18">
        <v>2.1837497392678097E-3</v>
      </c>
      <c r="C83" s="19">
        <v>9.3589274540048994E-4</v>
      </c>
      <c r="D83" s="19">
        <v>0</v>
      </c>
      <c r="E83" s="69">
        <v>97.108699795000007</v>
      </c>
      <c r="F83" s="29"/>
      <c r="G83" s="29"/>
      <c r="H83" s="30"/>
    </row>
    <row r="84" spans="1:8" x14ac:dyDescent="0.25">
      <c r="A84" s="11">
        <v>740</v>
      </c>
      <c r="B84" s="18">
        <v>1.6157596593006161E-3</v>
      </c>
      <c r="C84" s="19">
        <v>6.4630386372024646E-4</v>
      </c>
      <c r="D84" s="19">
        <v>0</v>
      </c>
      <c r="E84" s="69">
        <v>97.247314450000005</v>
      </c>
      <c r="F84" s="29"/>
      <c r="G84" s="29"/>
      <c r="H84" s="30"/>
    </row>
    <row r="85" spans="1:8" x14ac:dyDescent="0.25">
      <c r="A85" s="11">
        <v>745</v>
      </c>
      <c r="B85" s="18">
        <v>1.1927791679311073E-3</v>
      </c>
      <c r="C85" s="19">
        <v>2.9819479198277683E-4</v>
      </c>
      <c r="D85" s="19">
        <v>0</v>
      </c>
      <c r="E85" s="69">
        <v>97.342403410000003</v>
      </c>
      <c r="F85" s="29"/>
      <c r="G85" s="29"/>
      <c r="H85" s="30"/>
    </row>
    <row r="86" spans="1:8" x14ac:dyDescent="0.25">
      <c r="A86" s="11">
        <v>750</v>
      </c>
      <c r="B86" s="18">
        <v>8.2100384286167124E-4</v>
      </c>
      <c r="C86" s="19">
        <v>2.7366794762055706E-4</v>
      </c>
      <c r="D86" s="19">
        <v>0</v>
      </c>
      <c r="E86" s="69">
        <v>97.437492370000001</v>
      </c>
      <c r="F86" s="29"/>
      <c r="G86" s="29"/>
      <c r="H86" s="30"/>
    </row>
    <row r="87" spans="1:8" x14ac:dyDescent="0.25">
      <c r="A87" s="11">
        <v>755</v>
      </c>
      <c r="B87" s="18">
        <v>4.733250666393283E-4</v>
      </c>
      <c r="C87" s="19">
        <v>2.3666253331966415E-4</v>
      </c>
      <c r="D87" s="19">
        <v>0</v>
      </c>
      <c r="E87" s="69">
        <v>97.619884490000004</v>
      </c>
      <c r="F87" s="29"/>
      <c r="G87" s="29"/>
      <c r="H87" s="30"/>
    </row>
    <row r="88" spans="1:8" x14ac:dyDescent="0.25">
      <c r="A88" s="11">
        <v>760</v>
      </c>
      <c r="B88" s="18">
        <v>1.9965711901877121E-4</v>
      </c>
      <c r="C88" s="19">
        <v>0</v>
      </c>
      <c r="D88" s="19">
        <v>0</v>
      </c>
      <c r="E88" s="69">
        <v>97.802276610000007</v>
      </c>
      <c r="F88" s="29"/>
      <c r="G88" s="29"/>
      <c r="H88" s="30"/>
    </row>
    <row r="89" spans="1:8" x14ac:dyDescent="0.25">
      <c r="A89" s="11">
        <v>765</v>
      </c>
      <c r="B89" s="18">
        <v>2.4354726156169073E-4</v>
      </c>
      <c r="C89" s="19">
        <v>0</v>
      </c>
      <c r="D89" s="19">
        <v>0</v>
      </c>
      <c r="E89" s="69">
        <v>97.864704130000007</v>
      </c>
      <c r="F89" s="29"/>
      <c r="G89" s="29"/>
      <c r="H89" s="30"/>
    </row>
    <row r="90" spans="1:8" x14ac:dyDescent="0.25">
      <c r="A90" s="11">
        <v>770</v>
      </c>
      <c r="B90" s="18">
        <v>2.8743740410461027E-4</v>
      </c>
      <c r="C90" s="19">
        <v>0</v>
      </c>
      <c r="D90" s="19">
        <v>0</v>
      </c>
      <c r="E90" s="69">
        <v>97.927131650000007</v>
      </c>
      <c r="F90" s="29"/>
      <c r="G90" s="29"/>
      <c r="H90" s="30"/>
    </row>
    <row r="91" spans="1:8" x14ac:dyDescent="0.25">
      <c r="A91" s="12">
        <v>775</v>
      </c>
      <c r="B91" s="20">
        <v>0</v>
      </c>
      <c r="C91" s="21">
        <v>0</v>
      </c>
      <c r="D91" s="21">
        <v>0</v>
      </c>
      <c r="E91" s="70">
        <v>97.989559170000007</v>
      </c>
      <c r="F91" s="29"/>
      <c r="G91" s="29"/>
      <c r="H91" s="30"/>
    </row>
    <row r="92" spans="1:8" ht="15.75" thickBot="1" x14ac:dyDescent="0.3">
      <c r="A92" s="13">
        <v>780</v>
      </c>
      <c r="B92" s="22">
        <v>0</v>
      </c>
      <c r="C92" s="23">
        <v>0</v>
      </c>
      <c r="D92" s="23">
        <v>0</v>
      </c>
      <c r="E92" s="72">
        <v>98.051986690000007</v>
      </c>
      <c r="F92" s="29"/>
      <c r="G92" s="29"/>
      <c r="H92" s="30"/>
    </row>
    <row r="93" spans="1:8" ht="15.75" thickBot="1" x14ac:dyDescent="0.3">
      <c r="A93" s="34"/>
      <c r="B93" s="35"/>
      <c r="C93" s="24" t="s">
        <v>25</v>
      </c>
      <c r="D93" s="14" t="s">
        <v>6</v>
      </c>
      <c r="E93" s="54">
        <f>SUMPRODUCT($B12:$B92,E12:E92)/100</f>
        <v>58.630111845517497</v>
      </c>
      <c r="F93" s="29"/>
      <c r="G93" s="29"/>
      <c r="H93" s="30"/>
    </row>
    <row r="94" spans="1:8" x14ac:dyDescent="0.25">
      <c r="A94" s="34"/>
      <c r="B94" s="35"/>
      <c r="C94" s="29"/>
      <c r="D94" s="15" t="s">
        <v>7</v>
      </c>
      <c r="E94" s="55">
        <f>SUMPRODUCT($C12:$C92,E12:E92)/100</f>
        <v>56.44872655094435</v>
      </c>
      <c r="F94" s="29"/>
      <c r="G94" s="29"/>
      <c r="H94" s="30"/>
    </row>
    <row r="95" spans="1:8" ht="15.75" thickBot="1" x14ac:dyDescent="0.3">
      <c r="A95" s="34"/>
      <c r="B95" s="35"/>
      <c r="C95" s="29"/>
      <c r="D95" s="16" t="s">
        <v>8</v>
      </c>
      <c r="E95" s="56">
        <f>SUMPRODUCT($D12:$D92,E12:E92)/100</f>
        <v>13.267041909432626</v>
      </c>
      <c r="F95" s="29"/>
      <c r="G95" s="29"/>
      <c r="H95" s="30"/>
    </row>
    <row r="96" spans="1:8" ht="15.75" thickBot="1" x14ac:dyDescent="0.3">
      <c r="A96" s="34"/>
      <c r="B96" s="35"/>
      <c r="C96" s="24" t="s">
        <v>24</v>
      </c>
      <c r="D96" s="14" t="s">
        <v>16</v>
      </c>
      <c r="E96" s="57">
        <f>IF((E93/94.825)&gt;0.008856,(E93/94.825)^(1/3),(903.3*(E93/94.825)-16)/116)</f>
        <v>0.85192093452106665</v>
      </c>
      <c r="F96" s="29"/>
      <c r="G96" s="29"/>
      <c r="H96" s="30"/>
    </row>
    <row r="97" spans="1:9" x14ac:dyDescent="0.25">
      <c r="A97" s="34"/>
      <c r="B97" s="35"/>
      <c r="C97" s="29"/>
      <c r="D97" s="15" t="s">
        <v>17</v>
      </c>
      <c r="E97" s="58">
        <f>IF((E94/100)&gt;0.008856,(E94/100)^(1/3),(903.3*(E94/100)-16)/116)</f>
        <v>0.82645278908736575</v>
      </c>
      <c r="F97" s="29"/>
      <c r="G97" s="29"/>
      <c r="H97" s="30"/>
    </row>
    <row r="98" spans="1:9" ht="15.75" thickBot="1" x14ac:dyDescent="0.3">
      <c r="A98" s="34"/>
      <c r="B98" s="35"/>
      <c r="C98" s="29"/>
      <c r="D98" s="16" t="s">
        <v>18</v>
      </c>
      <c r="E98" s="59">
        <f>IF((E95/107.381)&gt;0.008856,(E95/107.381)^(1/3),(903.3*(E95/107.381)-16)/116)</f>
        <v>0.49806063619602842</v>
      </c>
      <c r="F98" s="29"/>
      <c r="G98" s="29"/>
      <c r="H98" s="30"/>
    </row>
    <row r="99" spans="1:9" x14ac:dyDescent="0.25">
      <c r="A99" s="34"/>
      <c r="B99" s="35"/>
      <c r="C99" s="29"/>
      <c r="D99" s="15" t="s">
        <v>1</v>
      </c>
      <c r="E99" s="60">
        <f>116*E97-16</f>
        <v>79.868523534134425</v>
      </c>
      <c r="F99" s="29"/>
      <c r="G99" s="29"/>
      <c r="H99" s="30"/>
    </row>
    <row r="100" spans="1:9" x14ac:dyDescent="0.25">
      <c r="A100" s="34"/>
      <c r="B100" s="35"/>
      <c r="C100" s="29"/>
      <c r="D100" s="15" t="s">
        <v>2</v>
      </c>
      <c r="E100" s="60">
        <f>500*(E96-E97)</f>
        <v>12.734072716850452</v>
      </c>
      <c r="F100" s="29"/>
      <c r="G100" s="29"/>
      <c r="H100" s="30"/>
    </row>
    <row r="101" spans="1:9" ht="15.75" thickBot="1" x14ac:dyDescent="0.3">
      <c r="A101" s="34"/>
      <c r="B101" s="35"/>
      <c r="C101" s="29"/>
      <c r="D101" s="16" t="s">
        <v>3</v>
      </c>
      <c r="E101" s="61">
        <f>200*(E97-E98)</f>
        <v>65.678430578267466</v>
      </c>
      <c r="F101" s="29"/>
      <c r="G101" s="29"/>
      <c r="H101" s="30"/>
    </row>
    <row r="102" spans="1:9" ht="15.75" thickBot="1" x14ac:dyDescent="0.3">
      <c r="A102" s="34"/>
      <c r="B102" s="35"/>
      <c r="C102" s="24" t="s">
        <v>23</v>
      </c>
      <c r="D102" s="14" t="s">
        <v>1</v>
      </c>
      <c r="E102" s="62">
        <f>116*E97-16</f>
        <v>79.868523534134425</v>
      </c>
      <c r="F102" s="29"/>
      <c r="G102" s="29"/>
      <c r="H102" s="30"/>
      <c r="I102" s="2"/>
    </row>
    <row r="103" spans="1:9" x14ac:dyDescent="0.25">
      <c r="A103" s="36"/>
      <c r="B103" s="29"/>
      <c r="C103" s="29"/>
      <c r="D103" s="15" t="s">
        <v>5</v>
      </c>
      <c r="E103" s="60">
        <f>SQRT(E100^2+E101^2)</f>
        <v>66.901516060417748</v>
      </c>
      <c r="F103" s="29"/>
      <c r="G103" s="29"/>
      <c r="H103" s="30"/>
    </row>
    <row r="104" spans="1:9" ht="15.75" thickBot="1" x14ac:dyDescent="0.3">
      <c r="A104" s="36"/>
      <c r="B104" s="29"/>
      <c r="C104" s="29"/>
      <c r="D104" s="16" t="s">
        <v>4</v>
      </c>
      <c r="E104" s="61">
        <f>IF(E100&gt;0,  IF(ATAN(E101/E100)&gt;0, ATAN(E101/E100)*180/PI(), 360+ATAN(E101/E100)*180/PI()), ATAN(E101/E100)*180/PI()+180)</f>
        <v>79.027339849788774</v>
      </c>
      <c r="F104" s="29"/>
      <c r="G104" s="29"/>
      <c r="H104" s="30"/>
    </row>
    <row r="105" spans="1:9" ht="15.75" thickBot="1" x14ac:dyDescent="0.3">
      <c r="A105" s="36"/>
      <c r="B105" s="29"/>
      <c r="C105" s="24" t="s">
        <v>22</v>
      </c>
      <c r="D105" s="15" t="s">
        <v>19</v>
      </c>
      <c r="E105" s="58">
        <f>(E$93*3.2406+E$94*-1.5372+E$95*-0.4986)*0.01</f>
        <v>0.96608810896429231</v>
      </c>
      <c r="F105" s="29"/>
      <c r="G105" s="29"/>
      <c r="H105" s="30"/>
    </row>
    <row r="106" spans="1:9" x14ac:dyDescent="0.25">
      <c r="A106" s="36"/>
      <c r="B106" s="29"/>
      <c r="C106" s="29"/>
      <c r="D106" s="15" t="s">
        <v>20</v>
      </c>
      <c r="E106" s="58">
        <f>(E$93*-0.9689+E$94*1.8758+E$95*0.0415)*0.01</f>
        <v>0.4963038813638096</v>
      </c>
      <c r="F106" s="29"/>
      <c r="G106" s="29"/>
      <c r="H106" s="30"/>
    </row>
    <row r="107" spans="1:9" ht="15.75" thickBot="1" x14ac:dyDescent="0.3">
      <c r="A107" s="36"/>
      <c r="B107" s="29"/>
      <c r="C107" s="29"/>
      <c r="D107" s="16" t="s">
        <v>21</v>
      </c>
      <c r="E107" s="59">
        <f>(E$93*0.0557+E$94*-0.204+E$95*1.057)*0.01</f>
        <v>5.7734203116729631E-2</v>
      </c>
      <c r="F107" s="29"/>
      <c r="G107" s="29"/>
      <c r="H107" s="30"/>
    </row>
    <row r="108" spans="1:9" x14ac:dyDescent="0.25">
      <c r="A108" s="36"/>
      <c r="B108" s="29"/>
      <c r="C108" s="29"/>
      <c r="D108" s="15" t="s">
        <v>9</v>
      </c>
      <c r="E108" s="54">
        <f>IF((E105&gt;0.0031308),(269.025*(E105^(1/2.4))-14.025),(3294.6*E105))</f>
        <v>251.16040227311279</v>
      </c>
      <c r="F108" s="29"/>
      <c r="G108" s="29"/>
      <c r="H108" s="30"/>
    </row>
    <row r="109" spans="1:9" x14ac:dyDescent="0.25">
      <c r="A109" s="36"/>
      <c r="B109" s="29"/>
      <c r="C109" s="29"/>
      <c r="D109" s="15" t="s">
        <v>10</v>
      </c>
      <c r="E109" s="55">
        <f>IF((E106&gt;0.0031308),(269.025*(E106^(1/2.4))-14.025),(3294.6*E106))</f>
        <v>186.89392071690011</v>
      </c>
      <c r="F109" s="29"/>
      <c r="G109" s="29"/>
      <c r="H109" s="30"/>
    </row>
    <row r="110" spans="1:9" ht="15.75" thickBot="1" x14ac:dyDescent="0.3">
      <c r="A110" s="36"/>
      <c r="B110" s="29"/>
      <c r="C110" s="29"/>
      <c r="D110" s="16" t="s">
        <v>11</v>
      </c>
      <c r="E110" s="56">
        <f>IF((E107&gt;0.0031308),(269.025*(E107^(1/2.4))-14.025),(3294.6*E107))</f>
        <v>67.957872312579212</v>
      </c>
      <c r="F110" s="29"/>
      <c r="G110" s="29"/>
      <c r="H110" s="30"/>
    </row>
    <row r="111" spans="1:9" s="2" customFormat="1" ht="15.75" thickBot="1" x14ac:dyDescent="0.3">
      <c r="A111" s="36"/>
      <c r="B111" s="29"/>
      <c r="C111" s="24" t="s">
        <v>26</v>
      </c>
      <c r="D111" s="17"/>
      <c r="E111" s="65" t="s">
        <v>12</v>
      </c>
      <c r="F111" s="29"/>
      <c r="G111" s="29"/>
      <c r="H111" s="30"/>
    </row>
    <row r="112" spans="1:9" x14ac:dyDescent="0.25">
      <c r="A112" s="36"/>
      <c r="B112" s="29"/>
      <c r="C112" s="29"/>
      <c r="D112" s="29"/>
      <c r="E112" s="29"/>
      <c r="F112" s="52"/>
      <c r="G112" s="29"/>
      <c r="H112" s="30"/>
    </row>
    <row r="113" spans="1:11" x14ac:dyDescent="0.25">
      <c r="A113" s="36"/>
      <c r="B113" s="29"/>
      <c r="C113" s="29"/>
      <c r="D113" s="29"/>
      <c r="E113" s="29"/>
      <c r="F113" s="29"/>
      <c r="G113" s="29"/>
      <c r="H113" s="30"/>
    </row>
    <row r="114" spans="1:11" x14ac:dyDescent="0.25">
      <c r="A114" s="36"/>
      <c r="B114" s="29"/>
      <c r="C114" s="29"/>
      <c r="D114" s="29"/>
      <c r="E114" s="29"/>
      <c r="F114" s="29"/>
      <c r="G114" s="29"/>
      <c r="H114" s="30"/>
    </row>
    <row r="115" spans="1:11" x14ac:dyDescent="0.25">
      <c r="A115" s="36"/>
      <c r="B115" s="29"/>
      <c r="C115" s="29"/>
      <c r="D115" s="29"/>
      <c r="E115" s="29"/>
      <c r="F115" s="29"/>
      <c r="G115" s="29"/>
      <c r="H115" s="30"/>
      <c r="K115" s="2"/>
    </row>
    <row r="116" spans="1:11" x14ac:dyDescent="0.25">
      <c r="A116" s="36"/>
      <c r="B116" s="29"/>
      <c r="C116" s="29"/>
      <c r="D116" s="29"/>
      <c r="E116" s="29"/>
      <c r="F116" s="29"/>
      <c r="G116" s="29"/>
      <c r="H116" s="30"/>
    </row>
    <row r="117" spans="1:11" x14ac:dyDescent="0.25">
      <c r="A117" s="36"/>
      <c r="B117" s="29"/>
      <c r="C117" s="29"/>
      <c r="D117" s="29"/>
      <c r="E117" s="52"/>
      <c r="F117" s="29"/>
      <c r="G117" s="29"/>
      <c r="H117" s="30"/>
    </row>
    <row r="118" spans="1:11" x14ac:dyDescent="0.25">
      <c r="A118" s="36"/>
      <c r="B118" s="29"/>
      <c r="C118" s="29"/>
      <c r="D118" s="29"/>
      <c r="E118" s="29"/>
      <c r="F118" s="29"/>
      <c r="G118" s="29"/>
      <c r="H118" s="30"/>
    </row>
    <row r="119" spans="1:11" x14ac:dyDescent="0.25">
      <c r="A119" s="36"/>
      <c r="B119" s="29"/>
      <c r="C119" s="29"/>
      <c r="D119" s="29"/>
      <c r="E119" s="29"/>
      <c r="F119" s="29"/>
      <c r="G119" s="29"/>
      <c r="H119" s="30"/>
    </row>
    <row r="120" spans="1:11" x14ac:dyDescent="0.25">
      <c r="A120" s="36"/>
      <c r="B120" s="29"/>
      <c r="C120" s="29"/>
      <c r="D120" s="29"/>
      <c r="E120" s="29"/>
      <c r="F120" s="29"/>
      <c r="G120" s="29"/>
      <c r="H120" s="30"/>
    </row>
    <row r="121" spans="1:11" x14ac:dyDescent="0.25">
      <c r="A121" s="36"/>
      <c r="B121" s="29"/>
      <c r="C121" s="29"/>
      <c r="D121" s="29"/>
      <c r="E121" s="29"/>
      <c r="F121" s="29"/>
      <c r="G121" s="29"/>
      <c r="H121" s="30"/>
    </row>
    <row r="122" spans="1:11" x14ac:dyDescent="0.25">
      <c r="A122" s="36"/>
      <c r="B122" s="29"/>
      <c r="C122" s="29"/>
      <c r="D122" s="29"/>
      <c r="E122" s="29"/>
      <c r="F122" s="29"/>
      <c r="G122" s="29"/>
      <c r="H122" s="30"/>
    </row>
    <row r="123" spans="1:11" x14ac:dyDescent="0.25">
      <c r="A123" s="36"/>
      <c r="B123" s="29"/>
      <c r="C123" s="29"/>
      <c r="D123" s="29"/>
      <c r="E123" s="29"/>
      <c r="F123" s="29"/>
      <c r="G123" s="29"/>
      <c r="H123" s="30"/>
    </row>
    <row r="124" spans="1:11" ht="15.75" thickBot="1" x14ac:dyDescent="0.3">
      <c r="A124" s="37"/>
      <c r="B124" s="32"/>
      <c r="C124" s="32"/>
      <c r="D124" s="32"/>
      <c r="E124" s="32"/>
      <c r="F124" s="32"/>
      <c r="G124" s="32"/>
      <c r="H124" s="33"/>
    </row>
    <row r="125" spans="1:11" x14ac:dyDescent="0.25">
      <c r="E125" s="2"/>
    </row>
  </sheetData>
  <sheetProtection sheet="1" objects="1" scenarios="1"/>
  <sortState ref="A12:D92">
    <sortCondition ref="A12:A92"/>
  </sortState>
  <mergeCells count="3">
    <mergeCell ref="A3:D6"/>
    <mergeCell ref="A7:D9"/>
    <mergeCell ref="A1:D2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32"/>
  <sheetViews>
    <sheetView zoomScale="90" zoomScaleNormal="90" workbookViewId="0">
      <selection activeCell="H17" sqref="H17:J19"/>
    </sheetView>
  </sheetViews>
  <sheetFormatPr baseColWidth="10" defaultRowHeight="15" x14ac:dyDescent="0.25"/>
  <sheetData>
    <row r="1" spans="1:13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30"/>
    </row>
    <row r="3" spans="1:13" x14ac:dyDescent="0.2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30"/>
    </row>
    <row r="4" spans="1:13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30"/>
    </row>
    <row r="5" spans="1:13" x14ac:dyDescent="0.2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30"/>
    </row>
    <row r="6" spans="1:13" x14ac:dyDescent="0.2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7" spans="1:13" x14ac:dyDescent="0.2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30"/>
    </row>
    <row r="8" spans="1:13" x14ac:dyDescent="0.2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30"/>
    </row>
    <row r="9" spans="1:13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30"/>
    </row>
    <row r="10" spans="1:13" x14ac:dyDescent="0.2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0"/>
    </row>
    <row r="11" spans="1:13" x14ac:dyDescent="0.2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0"/>
    </row>
    <row r="12" spans="1:13" x14ac:dyDescent="0.2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30"/>
    </row>
    <row r="13" spans="1:13" x14ac:dyDescent="0.2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0"/>
    </row>
    <row r="14" spans="1:13" x14ac:dyDescent="0.2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30"/>
    </row>
    <row r="15" spans="1:13" x14ac:dyDescent="0.2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30"/>
    </row>
    <row r="16" spans="1:13" ht="15.75" thickBot="1" x14ac:dyDescent="0.3">
      <c r="A16" s="28"/>
      <c r="B16" s="29"/>
      <c r="C16" s="29"/>
      <c r="D16" s="29"/>
      <c r="E16" s="29"/>
      <c r="F16" s="29"/>
      <c r="G16" s="29"/>
      <c r="H16" s="29"/>
      <c r="I16" s="38" t="s">
        <v>30</v>
      </c>
      <c r="J16" s="29"/>
      <c r="K16" s="29"/>
      <c r="L16" s="29"/>
      <c r="M16" s="30"/>
    </row>
    <row r="17" spans="1:13" x14ac:dyDescent="0.25">
      <c r="A17" s="28"/>
      <c r="B17" s="29"/>
      <c r="C17" s="29"/>
      <c r="D17" s="29"/>
      <c r="E17" s="29"/>
      <c r="F17" s="29"/>
      <c r="G17" s="29"/>
      <c r="H17" s="97" t="str">
        <f>IF('Template 5nm'!$E$100&gt;0,IF('Template 5nm'!$E$101&gt;0,"As a*&gt;0 and b*&gt;0 (a*="&amp;TEXT(F30,"#")&amp;", b="&amp;TEXT(F31,"#")&amp;"), the color must have red and yellow hues (yellow, orange, red…)","As a*&gt;0 and b*&lt;0 (a*="&amp;TEXT(F30,"#")&amp;", b="&amp;TEXT(F31,"#")&amp;"), the color must have red and blue hues (red, purple, violet, blue...)"),IF('Template 5nm'!$E$101&gt;0,"As a*&lt;0 and b*&gt;0 (a*="&amp;TEXT(F30,"#")&amp;", b="&amp;TEXT(F31,"#")&amp;"), the color must have green and yellow hues (yellow, lemon yellow, green…)","As a*&lt;0 and b*&lt;0 (a*="&amp;TEXT(F30,"#")&amp;", b="&amp;TEXT(F31,"#")&amp;"), the color must have green and blue hues (green, turquoise, blue...)"))</f>
        <v>As a*&gt;0 and b*&gt;0 (a*=13, b=66), the color must have red and yellow hues (yellow, orange, red…)</v>
      </c>
      <c r="I17" s="98"/>
      <c r="J17" s="99"/>
      <c r="K17" s="29"/>
      <c r="L17" s="29"/>
      <c r="M17" s="30"/>
    </row>
    <row r="18" spans="1:13" x14ac:dyDescent="0.25">
      <c r="A18" s="28"/>
      <c r="B18" s="29"/>
      <c r="C18" s="29"/>
      <c r="D18" s="29"/>
      <c r="E18" s="29"/>
      <c r="F18" s="29"/>
      <c r="G18" s="29"/>
      <c r="H18" s="100"/>
      <c r="I18" s="101"/>
      <c r="J18" s="102"/>
      <c r="K18" s="29"/>
      <c r="L18" s="29"/>
      <c r="M18" s="30"/>
    </row>
    <row r="19" spans="1:13" ht="15.75" thickBot="1" x14ac:dyDescent="0.3">
      <c r="A19" s="28"/>
      <c r="B19" s="29"/>
      <c r="C19" s="29"/>
      <c r="D19" s="29"/>
      <c r="E19" s="29"/>
      <c r="F19" s="29"/>
      <c r="G19" s="29"/>
      <c r="H19" s="103"/>
      <c r="I19" s="104"/>
      <c r="J19" s="105"/>
      <c r="K19" s="29"/>
      <c r="L19" s="29"/>
      <c r="M19" s="30"/>
    </row>
    <row r="20" spans="1:13" x14ac:dyDescent="0.25">
      <c r="A20" s="28"/>
      <c r="B20" s="29"/>
      <c r="C20" s="29"/>
      <c r="D20" s="29"/>
      <c r="E20" s="29"/>
      <c r="F20" s="29"/>
      <c r="G20" s="29"/>
      <c r="H20" s="97" t="str">
        <f>IF('Template 5nm'!$E$99&lt;50,(IF('Template 5nm'!$E$99&lt;10,"As L* is "&amp;TEXT('Template 5nm'!E99,"#")&amp;", it is near to 0, so the color is almost black","As L* is "&amp;TEXT('Template 5nm'!E99,"#")&amp;", it is between 10 and 50, so the color is dark")),(IF('Template 5nm'!$E$99&gt;90,"As L* is "&amp;TEXT('Template 5nm'!E99,"#")&amp;", it is near to 100, so the color is almost white","As L* is "&amp;TEXT('Template 5nm'!E99,"#")&amp;", it is between 50 and 90, so the color is light")))</f>
        <v>As L* is 80, it is between 50 and 90, so the color is light</v>
      </c>
      <c r="I20" s="98"/>
      <c r="J20" s="99"/>
      <c r="K20" s="29"/>
      <c r="L20" s="29"/>
      <c r="M20" s="30"/>
    </row>
    <row r="21" spans="1:13" x14ac:dyDescent="0.25">
      <c r="A21" s="28"/>
      <c r="B21" s="29"/>
      <c r="C21" s="29"/>
      <c r="D21" s="29"/>
      <c r="E21" s="29"/>
      <c r="F21" s="29"/>
      <c r="G21" s="29"/>
      <c r="H21" s="100"/>
      <c r="I21" s="101"/>
      <c r="J21" s="102"/>
      <c r="K21" s="29"/>
      <c r="L21" s="29"/>
      <c r="M21" s="30"/>
    </row>
    <row r="22" spans="1:13" ht="15.75" thickBot="1" x14ac:dyDescent="0.3">
      <c r="A22" s="28"/>
      <c r="B22" s="29"/>
      <c r="C22" s="29"/>
      <c r="D22" s="29"/>
      <c r="E22" s="29"/>
      <c r="F22" s="29"/>
      <c r="G22" s="29"/>
      <c r="H22" s="103"/>
      <c r="I22" s="104"/>
      <c r="J22" s="105"/>
      <c r="K22" s="29"/>
      <c r="L22" s="29"/>
      <c r="M22" s="30"/>
    </row>
    <row r="23" spans="1:13" x14ac:dyDescent="0.25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30"/>
    </row>
    <row r="24" spans="1:13" x14ac:dyDescent="0.25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30"/>
    </row>
    <row r="25" spans="1:13" x14ac:dyDescent="0.25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0"/>
    </row>
    <row r="26" spans="1:13" x14ac:dyDescent="0.25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0"/>
    </row>
    <row r="27" spans="1:13" ht="15.75" thickBot="1" x14ac:dyDescent="0.3">
      <c r="A27" s="3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3"/>
    </row>
    <row r="29" spans="1:13" x14ac:dyDescent="0.25">
      <c r="E29" s="63" t="s">
        <v>31</v>
      </c>
      <c r="F29" s="63"/>
    </row>
    <row r="30" spans="1:13" x14ac:dyDescent="0.25">
      <c r="E30" s="64" t="s">
        <v>51</v>
      </c>
      <c r="F30" s="63">
        <f>'Template 5nm'!E100</f>
        <v>12.734072716850452</v>
      </c>
    </row>
    <row r="31" spans="1:13" x14ac:dyDescent="0.25">
      <c r="E31" s="64" t="s">
        <v>52</v>
      </c>
      <c r="F31" s="63">
        <f>'Template 5nm'!E101</f>
        <v>65.678430578267466</v>
      </c>
    </row>
    <row r="32" spans="1:13" x14ac:dyDescent="0.25">
      <c r="E32" s="64" t="s">
        <v>53</v>
      </c>
      <c r="F32" s="63">
        <f>'Template 5nm'!E99</f>
        <v>79.868523534134425</v>
      </c>
    </row>
  </sheetData>
  <sheetProtection sheet="1" objects="1" scenarios="1" selectLockedCells="1" selectUnlockedCells="1"/>
  <mergeCells count="2">
    <mergeCell ref="H17:J19"/>
    <mergeCell ref="H20:J22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33"/>
  <sheetViews>
    <sheetView topLeftCell="B1" zoomScale="90" zoomScaleNormal="90" workbookViewId="0">
      <selection activeCell="H16" sqref="H16:J25"/>
    </sheetView>
  </sheetViews>
  <sheetFormatPr baseColWidth="10" defaultRowHeight="15" x14ac:dyDescent="0.25"/>
  <sheetData>
    <row r="1" spans="1:13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30"/>
    </row>
    <row r="3" spans="1:13" x14ac:dyDescent="0.2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30"/>
    </row>
    <row r="4" spans="1:13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30"/>
    </row>
    <row r="5" spans="1:13" x14ac:dyDescent="0.2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30"/>
    </row>
    <row r="6" spans="1:13" x14ac:dyDescent="0.2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7" spans="1:13" x14ac:dyDescent="0.2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30"/>
    </row>
    <row r="8" spans="1:13" x14ac:dyDescent="0.2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30"/>
    </row>
    <row r="9" spans="1:13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30"/>
    </row>
    <row r="10" spans="1:13" x14ac:dyDescent="0.2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0"/>
    </row>
    <row r="11" spans="1:13" x14ac:dyDescent="0.2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0"/>
    </row>
    <row r="12" spans="1:13" x14ac:dyDescent="0.2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30"/>
    </row>
    <row r="13" spans="1:13" x14ac:dyDescent="0.2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0"/>
    </row>
    <row r="14" spans="1:13" x14ac:dyDescent="0.2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30"/>
    </row>
    <row r="15" spans="1:13" x14ac:dyDescent="0.2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30"/>
    </row>
    <row r="16" spans="1:13" ht="15.75" thickBot="1" x14ac:dyDescent="0.3">
      <c r="A16" s="28"/>
      <c r="B16" s="29"/>
      <c r="C16" s="29"/>
      <c r="D16" s="29"/>
      <c r="E16" s="29"/>
      <c r="F16" s="29"/>
      <c r="G16" s="29"/>
      <c r="H16" s="29"/>
      <c r="I16" s="38" t="s">
        <v>30</v>
      </c>
      <c r="J16" s="29"/>
      <c r="K16" s="29"/>
      <c r="L16" s="29"/>
      <c r="M16" s="30"/>
    </row>
    <row r="17" spans="1:13" x14ac:dyDescent="0.25">
      <c r="A17" s="28"/>
      <c r="B17" s="29"/>
      <c r="C17" s="29"/>
      <c r="D17" s="29"/>
      <c r="E17" s="29"/>
      <c r="F17" s="29"/>
      <c r="G17" s="29"/>
      <c r="H17" s="97" t="str">
        <f>IF('Template 5nm'!E103&lt;25,"As C* is "&amp;TEXT('Template 5nm'!E103,"#")&amp;", it is near to 0, so the color must be almost grey",IF('Template 5nm'!E103&gt;75,"As C* is "&amp;TEXT('Template 5nm'!E103,"#")&amp;", it is near to 100, so the color must be very intense","As C* is "&amp;TEXT('Template 5nm'!E103,"#")&amp;", it is between 25 and 75, so the color is a little intense"))</f>
        <v>As C* is 67, it is between 25 and 75, so the color is a little intense</v>
      </c>
      <c r="I17" s="98"/>
      <c r="J17" s="99"/>
      <c r="K17" s="29"/>
      <c r="L17" s="29"/>
      <c r="M17" s="30"/>
    </row>
    <row r="18" spans="1:13" x14ac:dyDescent="0.25">
      <c r="A18" s="28"/>
      <c r="B18" s="29"/>
      <c r="C18" s="29"/>
      <c r="D18" s="29"/>
      <c r="E18" s="29"/>
      <c r="F18" s="29"/>
      <c r="G18" s="29"/>
      <c r="H18" s="100"/>
      <c r="I18" s="101"/>
      <c r="J18" s="102"/>
      <c r="K18" s="29"/>
      <c r="L18" s="29"/>
      <c r="M18" s="30"/>
    </row>
    <row r="19" spans="1:13" ht="15.75" thickBot="1" x14ac:dyDescent="0.3">
      <c r="A19" s="28"/>
      <c r="B19" s="29"/>
      <c r="C19" s="29"/>
      <c r="D19" s="29"/>
      <c r="E19" s="29"/>
      <c r="F19" s="29"/>
      <c r="G19" s="29"/>
      <c r="H19" s="103"/>
      <c r="I19" s="104"/>
      <c r="J19" s="105"/>
      <c r="K19" s="29"/>
      <c r="L19" s="29"/>
      <c r="M19" s="30"/>
    </row>
    <row r="20" spans="1:13" x14ac:dyDescent="0.25">
      <c r="A20" s="28"/>
      <c r="B20" s="29"/>
      <c r="C20" s="29"/>
      <c r="D20" s="29"/>
      <c r="E20" s="29"/>
      <c r="F20" s="29"/>
      <c r="G20" s="29"/>
      <c r="H20" s="97" t="str">
        <f>IF(G33&lt;180,(IF(G33&lt;90,"As H* is "&amp;TEXT('Template 5nm'!E104,"#")&amp;", it is between 0 and 90 degrees, so the color must have red-yellow hues","As H* is "&amp;TEXT('Template 5nm'!E104,"#")&amp;", it is between 90 and 180 degrees, so the color must have yellow-green hues")),(IF(G33&gt;270,"As H* is "&amp;TEXT('Template 5nm'!E104,"#")&amp;", it is between 270 and 360 degrees, so the color must have blue-red hues","As H* is "&amp;TEXT('Template 5nm'!E104,"#")&amp;", it is between 180 and 270 degrees, so the color must have green-blue hues")))</f>
        <v>As H* is 79, it is between 0 and 90 degrees, so the color must have red-yellow hues</v>
      </c>
      <c r="I20" s="98"/>
      <c r="J20" s="99"/>
      <c r="K20" s="29"/>
      <c r="L20" s="29"/>
      <c r="M20" s="30"/>
    </row>
    <row r="21" spans="1:13" x14ac:dyDescent="0.25">
      <c r="A21" s="28"/>
      <c r="B21" s="29"/>
      <c r="C21" s="29"/>
      <c r="D21" s="29"/>
      <c r="E21" s="29"/>
      <c r="F21" s="29"/>
      <c r="G21" s="29"/>
      <c r="H21" s="100"/>
      <c r="I21" s="101"/>
      <c r="J21" s="102"/>
      <c r="K21" s="29"/>
      <c r="L21" s="29"/>
      <c r="M21" s="30"/>
    </row>
    <row r="22" spans="1:13" ht="15.75" thickBot="1" x14ac:dyDescent="0.3">
      <c r="A22" s="28"/>
      <c r="B22" s="29"/>
      <c r="C22" s="29"/>
      <c r="D22" s="29"/>
      <c r="E22" s="29"/>
      <c r="F22" s="29"/>
      <c r="G22" s="29"/>
      <c r="H22" s="103"/>
      <c r="I22" s="104"/>
      <c r="J22" s="105"/>
      <c r="K22" s="29"/>
      <c r="L22" s="29"/>
      <c r="M22" s="30"/>
    </row>
    <row r="23" spans="1:13" x14ac:dyDescent="0.25">
      <c r="A23" s="28"/>
      <c r="B23" s="29"/>
      <c r="C23" s="29"/>
      <c r="D23" s="29"/>
      <c r="E23" s="29"/>
      <c r="F23" s="29"/>
      <c r="G23" s="29"/>
      <c r="H23" s="97" t="str">
        <f>IF('Template 5nm'!$E$99&lt;50,(IF('Template 5nm'!$E$99&lt;10,"As L* is "&amp;TEXT('Template 5nm'!E102,"#")&amp;", it is near to 0, so the color is almost black","As L* is "&amp;TEXT('Template 5nm'!E102,"#")&amp;", it is between 10 and 50, so the color is dark")),(IF('Template 5nm'!$E$99&gt;90,"As L* is "&amp;TEXT('Template 5nm'!E102,"#")&amp;", it is near to 100, so the color is almost white","As L* is "&amp;TEXT('Template 5nm'!E102,"#")&amp;", it is between 50 and 90, so the color is light")))</f>
        <v>As L* is 80, it is between 50 and 90, so the color is light</v>
      </c>
      <c r="I23" s="98"/>
      <c r="J23" s="99"/>
      <c r="K23" s="29"/>
      <c r="L23" s="29"/>
      <c r="M23" s="30"/>
    </row>
    <row r="24" spans="1:13" x14ac:dyDescent="0.25">
      <c r="A24" s="28"/>
      <c r="B24" s="29"/>
      <c r="C24" s="29"/>
      <c r="D24" s="29"/>
      <c r="E24" s="29"/>
      <c r="F24" s="29"/>
      <c r="G24" s="29"/>
      <c r="H24" s="100"/>
      <c r="I24" s="101"/>
      <c r="J24" s="102"/>
      <c r="K24" s="29"/>
      <c r="L24" s="29"/>
      <c r="M24" s="30"/>
    </row>
    <row r="25" spans="1:13" ht="15.75" thickBot="1" x14ac:dyDescent="0.3">
      <c r="A25" s="28"/>
      <c r="B25" s="29"/>
      <c r="C25" s="29"/>
      <c r="D25" s="29"/>
      <c r="E25" s="29"/>
      <c r="F25" s="29"/>
      <c r="G25" s="29"/>
      <c r="H25" s="103"/>
      <c r="I25" s="104"/>
      <c r="J25" s="105"/>
      <c r="K25" s="29"/>
      <c r="L25" s="29"/>
      <c r="M25" s="30"/>
    </row>
    <row r="26" spans="1:13" x14ac:dyDescent="0.25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0"/>
    </row>
    <row r="27" spans="1:13" ht="15.75" thickBot="1" x14ac:dyDescent="0.3">
      <c r="A27" s="3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3"/>
    </row>
    <row r="29" spans="1:13" x14ac:dyDescent="0.25">
      <c r="E29" s="63" t="s">
        <v>31</v>
      </c>
      <c r="F29" s="64"/>
      <c r="G29" s="63"/>
    </row>
    <row r="30" spans="1:13" x14ac:dyDescent="0.25">
      <c r="E30" s="63" t="s">
        <v>51</v>
      </c>
      <c r="F30" s="63">
        <f>'Template 5nm'!E100</f>
        <v>12.734072716850452</v>
      </c>
      <c r="G30" s="63">
        <v>0</v>
      </c>
    </row>
    <row r="31" spans="1:13" x14ac:dyDescent="0.25">
      <c r="E31" s="63" t="s">
        <v>52</v>
      </c>
      <c r="F31" s="63">
        <f>'Template 5nm'!E101</f>
        <v>65.678430578267466</v>
      </c>
      <c r="G31" s="63">
        <v>0</v>
      </c>
    </row>
    <row r="32" spans="1:13" x14ac:dyDescent="0.25">
      <c r="E32" s="63" t="s">
        <v>53</v>
      </c>
      <c r="F32" s="63">
        <f>'Template 5nm'!E99</f>
        <v>79.868523534134425</v>
      </c>
      <c r="G32" s="63"/>
    </row>
    <row r="33" spans="5:7" x14ac:dyDescent="0.25">
      <c r="E33" s="63"/>
      <c r="F33" s="63">
        <f>360-G33</f>
        <v>280.97266015021125</v>
      </c>
      <c r="G33" s="63">
        <f>'Template 5nm'!E104</f>
        <v>79.027339849788774</v>
      </c>
    </row>
  </sheetData>
  <sheetProtection sheet="1" objects="1" scenarios="1" selectLockedCells="1" selectUnlockedCells="1"/>
  <mergeCells count="3">
    <mergeCell ref="H17:J19"/>
    <mergeCell ref="H20:J22"/>
    <mergeCell ref="H23:J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32"/>
  <sheetViews>
    <sheetView zoomScale="90" zoomScaleNormal="90" workbookViewId="0">
      <selection activeCell="G23" sqref="G23"/>
    </sheetView>
  </sheetViews>
  <sheetFormatPr baseColWidth="10" defaultRowHeight="15" x14ac:dyDescent="0.25"/>
  <sheetData>
    <row r="1" spans="1:13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30"/>
    </row>
    <row r="3" spans="1:13" x14ac:dyDescent="0.2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30"/>
    </row>
    <row r="4" spans="1:13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30"/>
    </row>
    <row r="5" spans="1:13" x14ac:dyDescent="0.2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30"/>
    </row>
    <row r="6" spans="1:13" x14ac:dyDescent="0.2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7" spans="1:13" x14ac:dyDescent="0.2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30"/>
    </row>
    <row r="8" spans="1:13" x14ac:dyDescent="0.2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30"/>
    </row>
    <row r="9" spans="1:13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30"/>
    </row>
    <row r="10" spans="1:13" x14ac:dyDescent="0.2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0"/>
    </row>
    <row r="11" spans="1:13" x14ac:dyDescent="0.2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0"/>
    </row>
    <row r="12" spans="1:13" x14ac:dyDescent="0.2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30"/>
    </row>
    <row r="13" spans="1:13" x14ac:dyDescent="0.2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0"/>
    </row>
    <row r="14" spans="1:13" ht="15.75" customHeight="1" thickBot="1" x14ac:dyDescent="0.3">
      <c r="A14" s="28"/>
      <c r="B14" s="29"/>
      <c r="C14" s="29"/>
      <c r="D14" s="29"/>
      <c r="E14" s="29"/>
      <c r="F14" s="29"/>
      <c r="G14" s="29"/>
      <c r="H14" s="29"/>
      <c r="I14" s="38" t="s">
        <v>30</v>
      </c>
      <c r="J14" s="29"/>
      <c r="K14" s="29"/>
      <c r="L14" s="29"/>
      <c r="M14" s="30"/>
    </row>
    <row r="15" spans="1:13" x14ac:dyDescent="0.25">
      <c r="A15" s="28"/>
      <c r="B15" s="29"/>
      <c r="C15" s="29"/>
      <c r="D15" s="29"/>
      <c r="E15" s="29"/>
      <c r="F15" s="29"/>
      <c r="G15" s="29"/>
      <c r="H15" s="97" t="str">
        <f>"R="&amp;TEXT(F30,"#")</f>
        <v>R=251</v>
      </c>
      <c r="I15" s="98"/>
      <c r="J15" s="99"/>
      <c r="K15" s="29"/>
      <c r="L15" s="29"/>
      <c r="M15" s="30"/>
    </row>
    <row r="16" spans="1:13" x14ac:dyDescent="0.25">
      <c r="A16" s="28"/>
      <c r="B16" s="29"/>
      <c r="C16" s="29"/>
      <c r="D16" s="29"/>
      <c r="E16" s="29"/>
      <c r="F16" s="29"/>
      <c r="G16" s="29"/>
      <c r="H16" s="100"/>
      <c r="I16" s="101"/>
      <c r="J16" s="102"/>
      <c r="K16" s="29"/>
      <c r="L16" s="29"/>
      <c r="M16" s="30"/>
    </row>
    <row r="17" spans="1:13" ht="15.75" thickBot="1" x14ac:dyDescent="0.3">
      <c r="A17" s="28"/>
      <c r="B17" s="29"/>
      <c r="C17" s="29"/>
      <c r="D17" s="29"/>
      <c r="E17" s="29"/>
      <c r="F17" s="29"/>
      <c r="G17" s="29"/>
      <c r="H17" s="103"/>
      <c r="I17" s="104"/>
      <c r="J17" s="105"/>
      <c r="K17" s="29"/>
      <c r="L17" s="29"/>
      <c r="M17" s="30"/>
    </row>
    <row r="18" spans="1:13" x14ac:dyDescent="0.25">
      <c r="A18" s="28"/>
      <c r="B18" s="29"/>
      <c r="C18" s="29"/>
      <c r="D18" s="29"/>
      <c r="E18" s="29"/>
      <c r="F18" s="29"/>
      <c r="G18" s="29"/>
      <c r="H18" s="97" t="str">
        <f>"G="&amp;TEXT(F31,"#")</f>
        <v>G=187</v>
      </c>
      <c r="I18" s="98"/>
      <c r="J18" s="99"/>
      <c r="K18" s="29"/>
      <c r="L18" s="29"/>
      <c r="M18" s="30"/>
    </row>
    <row r="19" spans="1:13" x14ac:dyDescent="0.25">
      <c r="A19" s="28"/>
      <c r="B19" s="29"/>
      <c r="C19" s="29"/>
      <c r="D19" s="29"/>
      <c r="E19" s="29"/>
      <c r="F19" s="29"/>
      <c r="G19" s="29"/>
      <c r="H19" s="100"/>
      <c r="I19" s="101"/>
      <c r="J19" s="102"/>
      <c r="K19" s="29"/>
      <c r="L19" s="29"/>
      <c r="M19" s="30"/>
    </row>
    <row r="20" spans="1:13" ht="15.75" thickBot="1" x14ac:dyDescent="0.3">
      <c r="A20" s="28"/>
      <c r="B20" s="29"/>
      <c r="C20" s="29"/>
      <c r="D20" s="29"/>
      <c r="E20" s="29"/>
      <c r="F20" s="29"/>
      <c r="G20" s="29"/>
      <c r="H20" s="103"/>
      <c r="I20" s="104"/>
      <c r="J20" s="105"/>
      <c r="K20" s="29"/>
      <c r="L20" s="29"/>
      <c r="M20" s="30"/>
    </row>
    <row r="21" spans="1:13" x14ac:dyDescent="0.25">
      <c r="A21" s="28"/>
      <c r="B21" s="29"/>
      <c r="C21" s="29"/>
      <c r="D21" s="29"/>
      <c r="E21" s="29"/>
      <c r="F21" s="29"/>
      <c r="G21" s="29"/>
      <c r="H21" s="97" t="str">
        <f>"B="&amp;TEXT(F32,"#")</f>
        <v>B=68</v>
      </c>
      <c r="I21" s="98"/>
      <c r="J21" s="99"/>
      <c r="K21" s="29"/>
      <c r="L21" s="29"/>
      <c r="M21" s="30"/>
    </row>
    <row r="22" spans="1:13" x14ac:dyDescent="0.25">
      <c r="A22" s="28"/>
      <c r="B22" s="29"/>
      <c r="C22" s="29"/>
      <c r="D22" s="29"/>
      <c r="E22" s="29"/>
      <c r="F22" s="29"/>
      <c r="G22" s="29"/>
      <c r="H22" s="100"/>
      <c r="I22" s="101"/>
      <c r="J22" s="102"/>
      <c r="K22" s="29"/>
      <c r="L22" s="29"/>
      <c r="M22" s="30"/>
    </row>
    <row r="23" spans="1:13" ht="15.75" thickBot="1" x14ac:dyDescent="0.3">
      <c r="A23" s="28"/>
      <c r="B23" s="29"/>
      <c r="C23" s="29"/>
      <c r="D23" s="29"/>
      <c r="E23" s="29"/>
      <c r="F23" s="29"/>
      <c r="G23" s="29"/>
      <c r="H23" s="103"/>
      <c r="I23" s="104"/>
      <c r="J23" s="105"/>
      <c r="K23" s="29"/>
      <c r="L23" s="29"/>
      <c r="M23" s="30"/>
    </row>
    <row r="24" spans="1:13" x14ac:dyDescent="0.25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30"/>
    </row>
    <row r="25" spans="1:13" x14ac:dyDescent="0.25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0"/>
    </row>
    <row r="26" spans="1:13" x14ac:dyDescent="0.25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0"/>
    </row>
    <row r="27" spans="1:13" ht="15.75" thickBot="1" x14ac:dyDescent="0.3">
      <c r="A27" s="3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3"/>
    </row>
    <row r="29" spans="1:13" x14ac:dyDescent="0.25">
      <c r="E29" s="63" t="s">
        <v>31</v>
      </c>
      <c r="F29" s="63"/>
    </row>
    <row r="30" spans="1:13" x14ac:dyDescent="0.25">
      <c r="E30" s="63"/>
      <c r="F30" s="63">
        <f>IF('Template 5nm'!E108&lt;255, IF('Template 5nm'!E108&gt;0,'Template 5nm'!E108,0),255)</f>
        <v>251.16040227311279</v>
      </c>
    </row>
    <row r="31" spans="1:13" x14ac:dyDescent="0.25">
      <c r="E31" s="63"/>
      <c r="F31" s="63">
        <f>IF('Template 5nm'!E109&lt;255, IF('Template 5nm'!E109&gt;0,'Template 5nm'!E109,0),255)</f>
        <v>186.89392071690011</v>
      </c>
    </row>
    <row r="32" spans="1:13" x14ac:dyDescent="0.25">
      <c r="E32" s="63"/>
      <c r="F32" s="63">
        <f>IF('Template 5nm'!E110&lt;255, IF('Template 5nm'!E110&gt;0,'Template 5nm'!E110,0),255)</f>
        <v>67.957872312579212</v>
      </c>
    </row>
  </sheetData>
  <sheetProtection sheet="1" objects="1" scenarios="1" selectLockedCells="1" selectUnlockedCells="1"/>
  <mergeCells count="3">
    <mergeCell ref="H15:J17"/>
    <mergeCell ref="H18:J20"/>
    <mergeCell ref="H21:J2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N112"/>
  <sheetViews>
    <sheetView topLeftCell="A91" workbookViewId="0"/>
  </sheetViews>
  <sheetFormatPr baseColWidth="10" defaultRowHeight="15" x14ac:dyDescent="0.25"/>
  <cols>
    <col min="5" max="5" width="11.42578125" customWidth="1"/>
  </cols>
  <sheetData>
    <row r="1" spans="1:14" ht="1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</row>
    <row r="3" spans="1:14" ht="15" customHeight="1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</row>
    <row r="4" spans="1:14" x14ac:dyDescent="0.2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</row>
    <row r="5" spans="1:14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</row>
    <row r="6" spans="1:14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4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4" x14ac:dyDescent="0.25">
      <c r="A8" s="48"/>
      <c r="B8" s="48"/>
      <c r="C8" s="48"/>
      <c r="D8" s="48"/>
      <c r="E8" s="48"/>
      <c r="F8" s="48"/>
      <c r="G8" s="48"/>
      <c r="H8" s="48"/>
      <c r="J8" s="48"/>
      <c r="L8" s="48"/>
      <c r="N8" s="48"/>
    </row>
    <row r="9" spans="1:14" ht="15.75" thickBot="1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4" ht="15.75" thickBot="1" x14ac:dyDescent="0.3">
      <c r="A10" s="3" t="s">
        <v>27</v>
      </c>
      <c r="B10" s="4"/>
      <c r="C10" s="5" t="s">
        <v>28</v>
      </c>
      <c r="D10" s="6"/>
      <c r="E10" s="6" t="s">
        <v>29</v>
      </c>
      <c r="F10" s="48"/>
      <c r="G10" s="48"/>
      <c r="H10" s="48"/>
      <c r="I10" s="48"/>
      <c r="J10" s="48"/>
      <c r="K10" s="48"/>
      <c r="L10" s="48"/>
      <c r="M10" s="48"/>
      <c r="N10" s="48"/>
    </row>
    <row r="11" spans="1:14" ht="15.75" thickBot="1" x14ac:dyDescent="0.3">
      <c r="A11" s="7"/>
      <c r="B11" s="8" t="s">
        <v>13</v>
      </c>
      <c r="C11" s="9" t="s">
        <v>14</v>
      </c>
      <c r="D11" s="10" t="s">
        <v>15</v>
      </c>
      <c r="E11" s="41" t="s">
        <v>0</v>
      </c>
      <c r="F11" s="48"/>
      <c r="H11" s="48"/>
      <c r="I11" s="48"/>
      <c r="J11" s="48"/>
      <c r="K11" s="48"/>
      <c r="L11" s="48"/>
      <c r="M11" s="48"/>
      <c r="N11" s="48"/>
    </row>
    <row r="12" spans="1:14" x14ac:dyDescent="0.25">
      <c r="A12" s="11">
        <v>380</v>
      </c>
      <c r="B12" s="18">
        <v>4.3029551512666206E-4</v>
      </c>
      <c r="C12" s="19">
        <v>0</v>
      </c>
      <c r="D12" s="44">
        <v>1.5060343029433172E-3</v>
      </c>
      <c r="E12" s="27"/>
      <c r="F12" s="48"/>
      <c r="G12" s="48"/>
      <c r="H12" s="48"/>
      <c r="I12" s="48"/>
      <c r="J12" s="48"/>
      <c r="K12" s="48"/>
      <c r="L12" s="48"/>
      <c r="M12" s="48"/>
      <c r="N12" s="48"/>
    </row>
    <row r="13" spans="1:14" x14ac:dyDescent="0.25">
      <c r="A13" s="11">
        <v>385</v>
      </c>
      <c r="B13" s="18">
        <v>1.5753118808787096E-3</v>
      </c>
      <c r="C13" s="19">
        <v>2.2504455441124427E-4</v>
      </c>
      <c r="D13" s="44">
        <v>6.5262920779260826E-3</v>
      </c>
      <c r="E13" s="30"/>
      <c r="F13" s="48"/>
      <c r="G13" s="48"/>
      <c r="H13" s="48"/>
      <c r="I13" s="48"/>
      <c r="J13" s="48"/>
      <c r="K13" s="48"/>
      <c r="L13" s="48"/>
      <c r="M13" s="48"/>
      <c r="N13" s="48"/>
    </row>
    <row r="14" spans="1:14" x14ac:dyDescent="0.25">
      <c r="A14" s="11">
        <v>390</v>
      </c>
      <c r="B14" s="18">
        <v>5.6385924302197795E-3</v>
      </c>
      <c r="C14" s="19">
        <v>7.0482405377747244E-4</v>
      </c>
      <c r="D14" s="44">
        <v>2.4668841882211537E-2</v>
      </c>
      <c r="E14" s="30"/>
      <c r="F14" s="48"/>
      <c r="G14" s="48"/>
      <c r="H14" s="48"/>
      <c r="I14" s="48"/>
      <c r="J14" s="48"/>
      <c r="K14" s="48"/>
      <c r="L14" s="48"/>
      <c r="M14" s="48"/>
      <c r="N14" s="48"/>
    </row>
    <row r="15" spans="1:14" x14ac:dyDescent="0.25">
      <c r="A15" s="11">
        <v>395</v>
      </c>
      <c r="B15" s="18">
        <v>2.1284137360225212E-2</v>
      </c>
      <c r="C15" s="19">
        <v>2.364904151136135E-3</v>
      </c>
      <c r="D15" s="44">
        <v>9.548300510212146E-2</v>
      </c>
      <c r="E15" s="30"/>
      <c r="F15" s="48"/>
      <c r="G15" s="48"/>
      <c r="H15" s="48"/>
      <c r="I15" s="48"/>
      <c r="J15" s="48"/>
      <c r="K15" s="48"/>
      <c r="L15" s="48"/>
      <c r="M15" s="48"/>
      <c r="N15" s="48"/>
    </row>
    <row r="16" spans="1:14" x14ac:dyDescent="0.25">
      <c r="A16" s="11">
        <v>400</v>
      </c>
      <c r="B16" s="18">
        <v>6.8050375126251339E-2</v>
      </c>
      <c r="C16" s="19">
        <v>7.1256937304975242E-3</v>
      </c>
      <c r="D16" s="44">
        <v>0.30640483041139349</v>
      </c>
      <c r="E16" s="30"/>
      <c r="F16" s="48"/>
      <c r="G16" s="48"/>
      <c r="H16" s="48"/>
      <c r="I16" s="48"/>
      <c r="J16" s="48"/>
      <c r="K16" s="48"/>
      <c r="L16" s="48"/>
      <c r="M16" s="48"/>
      <c r="N16" s="48"/>
    </row>
    <row r="17" spans="1:14" x14ac:dyDescent="0.25">
      <c r="A17" s="11">
        <v>405</v>
      </c>
      <c r="B17" s="18">
        <v>0.16265772885509003</v>
      </c>
      <c r="C17" s="19">
        <v>1.6865432715389518E-2</v>
      </c>
      <c r="D17" s="44">
        <v>0.73870595293406094</v>
      </c>
      <c r="E17" s="30"/>
      <c r="F17" s="48"/>
      <c r="H17" s="48"/>
      <c r="I17" s="48"/>
      <c r="J17" s="48"/>
      <c r="K17" s="48"/>
      <c r="L17" s="48"/>
      <c r="M17" s="48"/>
      <c r="N17" s="48"/>
    </row>
    <row r="18" spans="1:14" x14ac:dyDescent="0.25">
      <c r="A18" s="11">
        <v>410</v>
      </c>
      <c r="B18" s="18">
        <v>0.33348117570073871</v>
      </c>
      <c r="C18" s="19">
        <v>3.4647394877998831E-2</v>
      </c>
      <c r="D18" s="44">
        <v>1.5331472233514483</v>
      </c>
      <c r="E18" s="30"/>
      <c r="F18" s="48"/>
      <c r="G18" s="48"/>
      <c r="H18" s="48"/>
      <c r="I18" s="48"/>
      <c r="J18" s="48"/>
      <c r="K18" s="48"/>
      <c r="L18" s="48"/>
      <c r="M18" s="48"/>
      <c r="N18" s="48"/>
    </row>
    <row r="19" spans="1:14" x14ac:dyDescent="0.25">
      <c r="A19" s="11">
        <v>415</v>
      </c>
      <c r="B19" s="18">
        <v>0.55962083219798031</v>
      </c>
      <c r="C19" s="19">
        <v>5.7713385966363551E-2</v>
      </c>
      <c r="D19" s="44">
        <v>2.6142173726005229</v>
      </c>
      <c r="E19" s="30"/>
      <c r="F19" s="48"/>
      <c r="G19" s="48"/>
      <c r="H19" s="48"/>
      <c r="I19" s="48"/>
      <c r="J19" s="48"/>
      <c r="K19" s="48"/>
      <c r="L19" s="48"/>
      <c r="M19" s="48"/>
      <c r="N19" s="48"/>
    </row>
    <row r="20" spans="1:14" x14ac:dyDescent="0.25">
      <c r="A20" s="11">
        <v>420</v>
      </c>
      <c r="B20" s="18">
        <v>0.82187734275737834</v>
      </c>
      <c r="C20" s="19">
        <v>8.6005746381456707E-2</v>
      </c>
      <c r="D20" s="44">
        <v>3.9084387082227408</v>
      </c>
      <c r="E20" s="30"/>
      <c r="F20" s="48"/>
      <c r="G20" s="48"/>
      <c r="H20" s="48"/>
      <c r="I20" s="48"/>
      <c r="J20" s="48"/>
      <c r="K20" s="48"/>
      <c r="L20" s="48"/>
      <c r="M20" s="48"/>
      <c r="N20" s="48"/>
    </row>
    <row r="21" spans="1:14" x14ac:dyDescent="0.25">
      <c r="A21" s="12">
        <v>425</v>
      </c>
      <c r="B21" s="20">
        <v>1.0262319979147871</v>
      </c>
      <c r="C21" s="21">
        <v>0.11437039644309113</v>
      </c>
      <c r="D21" s="45">
        <v>4.9722045233309959</v>
      </c>
      <c r="E21" s="42"/>
      <c r="F21" s="48"/>
      <c r="G21" s="48"/>
      <c r="H21" s="48"/>
      <c r="I21" s="48"/>
      <c r="J21" s="48"/>
      <c r="K21" s="48"/>
      <c r="L21" s="48"/>
      <c r="M21" s="48"/>
      <c r="N21" s="48"/>
    </row>
    <row r="22" spans="1:14" x14ac:dyDescent="0.25">
      <c r="A22" s="11">
        <v>430</v>
      </c>
      <c r="B22" s="18">
        <v>1.174039367951826</v>
      </c>
      <c r="C22" s="19">
        <v>0.1443766238949338</v>
      </c>
      <c r="D22" s="44">
        <v>5.7955835974361678</v>
      </c>
      <c r="E22" s="43"/>
      <c r="F22" s="48"/>
      <c r="G22" s="48"/>
      <c r="H22" s="48"/>
      <c r="I22" s="48"/>
      <c r="J22" s="48"/>
      <c r="K22" s="48"/>
      <c r="L22" s="48"/>
      <c r="M22" s="48"/>
      <c r="N22" s="48"/>
    </row>
    <row r="23" spans="1:14" x14ac:dyDescent="0.25">
      <c r="A23" s="11">
        <v>435</v>
      </c>
      <c r="B23" s="18">
        <v>1.4745220411885314</v>
      </c>
      <c r="C23" s="19">
        <v>0.20446265933170574</v>
      </c>
      <c r="D23" s="44">
        <v>7.4138325162917909</v>
      </c>
      <c r="E23" s="30"/>
      <c r="F23" s="48"/>
      <c r="H23" s="48"/>
      <c r="I23" s="48"/>
      <c r="J23" s="48"/>
      <c r="K23" s="48"/>
      <c r="L23" s="48"/>
      <c r="M23" s="48"/>
      <c r="N23" s="48"/>
    </row>
    <row r="24" spans="1:14" x14ac:dyDescent="0.25">
      <c r="A24" s="11">
        <v>440</v>
      </c>
      <c r="B24" s="18">
        <v>1.7319450422265115</v>
      </c>
      <c r="C24" s="19">
        <v>0.28030697712344638</v>
      </c>
      <c r="D24" s="44">
        <v>8.8799986488720783</v>
      </c>
      <c r="E24" s="30"/>
      <c r="F24" s="48"/>
      <c r="G24" s="48"/>
      <c r="H24" s="48"/>
      <c r="I24" s="48"/>
      <c r="J24" s="48"/>
      <c r="K24" s="48"/>
      <c r="L24" s="48"/>
      <c r="M24" s="48"/>
      <c r="N24" s="48"/>
    </row>
    <row r="25" spans="1:14" x14ac:dyDescent="0.25">
      <c r="A25" s="11">
        <v>445</v>
      </c>
      <c r="B25" s="18">
        <v>1.8453236075072357</v>
      </c>
      <c r="C25" s="19">
        <v>0.35646670152777482</v>
      </c>
      <c r="D25" s="44">
        <v>9.6742295047825682</v>
      </c>
      <c r="E25" s="30"/>
      <c r="F25" s="48"/>
      <c r="G25" s="48"/>
      <c r="H25" s="48"/>
      <c r="I25" s="48"/>
      <c r="J25" s="48"/>
      <c r="K25" s="48"/>
      <c r="L25" s="48"/>
      <c r="M25" s="48"/>
      <c r="N25" s="48"/>
    </row>
    <row r="26" spans="1:14" x14ac:dyDescent="0.25">
      <c r="A26" s="11">
        <v>450</v>
      </c>
      <c r="B26" s="18">
        <v>1.8662734052522074</v>
      </c>
      <c r="C26" s="19">
        <v>0.45058394866488416</v>
      </c>
      <c r="D26" s="44">
        <v>10.042735874823586</v>
      </c>
      <c r="E26" s="30"/>
      <c r="F26" s="48"/>
      <c r="G26" s="48"/>
      <c r="H26" s="48"/>
      <c r="I26" s="48"/>
      <c r="J26" s="48"/>
      <c r="K26" s="48"/>
      <c r="L26" s="48"/>
      <c r="M26" s="48"/>
      <c r="N26" s="48"/>
    </row>
    <row r="27" spans="1:14" x14ac:dyDescent="0.25">
      <c r="A27" s="11">
        <v>455</v>
      </c>
      <c r="B27" s="18">
        <v>1.7327225862223457</v>
      </c>
      <c r="C27" s="19">
        <v>0.53699245164849951</v>
      </c>
      <c r="D27" s="44">
        <v>9.6017079289586356</v>
      </c>
      <c r="E27" s="30"/>
      <c r="F27" s="48"/>
      <c r="G27" s="48"/>
      <c r="H27" s="48"/>
      <c r="I27" s="48"/>
      <c r="J27" s="48"/>
      <c r="K27" s="48"/>
      <c r="L27" s="48"/>
      <c r="M27" s="48"/>
      <c r="N27" s="48"/>
    </row>
    <row r="28" spans="1:14" x14ac:dyDescent="0.25">
      <c r="A28" s="11">
        <v>460</v>
      </c>
      <c r="B28" s="18">
        <v>1.5323227771444656</v>
      </c>
      <c r="C28" s="19">
        <v>0.64983056576222453</v>
      </c>
      <c r="D28" s="44">
        <v>8.8472251909624564</v>
      </c>
      <c r="E28" s="30"/>
      <c r="F28" s="48"/>
      <c r="G28" s="48"/>
      <c r="H28" s="48"/>
      <c r="I28" s="48"/>
      <c r="J28" s="48"/>
      <c r="K28" s="48"/>
      <c r="L28" s="48"/>
      <c r="M28" s="48"/>
      <c r="N28" s="48"/>
    </row>
    <row r="29" spans="1:14" x14ac:dyDescent="0.25">
      <c r="A29" s="11">
        <v>465</v>
      </c>
      <c r="B29" s="18">
        <v>1.2716019912785546</v>
      </c>
      <c r="C29" s="19">
        <v>0.7646626692930466</v>
      </c>
      <c r="D29" s="44">
        <v>7.7812433539512966</v>
      </c>
      <c r="E29" s="30"/>
      <c r="F29" s="48"/>
      <c r="G29" s="48"/>
      <c r="H29" s="48"/>
      <c r="I29" s="48"/>
      <c r="J29" s="48"/>
      <c r="K29" s="48"/>
      <c r="L29" s="48"/>
      <c r="M29" s="48"/>
      <c r="N29" s="48"/>
    </row>
    <row r="30" spans="1:14" x14ac:dyDescent="0.25">
      <c r="A30" s="11">
        <v>470</v>
      </c>
      <c r="B30" s="18">
        <v>0.96706507369832595</v>
      </c>
      <c r="C30" s="19">
        <v>0.91564648082275046</v>
      </c>
      <c r="D30" s="44">
        <v>6.5143401896979265</v>
      </c>
      <c r="E30" s="30"/>
      <c r="F30" s="48"/>
      <c r="G30" s="48"/>
      <c r="H30" s="48"/>
      <c r="I30" s="48"/>
      <c r="J30" s="48"/>
      <c r="K30" s="48"/>
      <c r="L30" s="48"/>
      <c r="M30" s="48"/>
      <c r="N30" s="48"/>
    </row>
    <row r="31" spans="1:14" x14ac:dyDescent="0.25">
      <c r="A31" s="12">
        <v>475</v>
      </c>
      <c r="B31" s="20">
        <v>0.65695023535551034</v>
      </c>
      <c r="C31" s="21">
        <v>1.0919376927791136</v>
      </c>
      <c r="D31" s="45">
        <v>5.1155716739474428</v>
      </c>
      <c r="E31" s="42"/>
      <c r="F31" s="48"/>
      <c r="G31" s="48"/>
      <c r="H31" s="48"/>
      <c r="I31" s="48"/>
      <c r="K31" s="48"/>
      <c r="L31" s="48"/>
      <c r="M31" s="48"/>
      <c r="N31" s="48"/>
    </row>
    <row r="32" spans="1:14" x14ac:dyDescent="0.25">
      <c r="A32" s="11">
        <v>480</v>
      </c>
      <c r="B32" s="18">
        <v>0.40146356413560008</v>
      </c>
      <c r="C32" s="19">
        <v>1.2647349051526482</v>
      </c>
      <c r="D32" s="44">
        <v>3.8505592281875383</v>
      </c>
      <c r="E32" s="43"/>
      <c r="F32" s="48"/>
      <c r="G32" s="48"/>
      <c r="H32" s="48"/>
      <c r="I32" s="48"/>
      <c r="J32" s="48"/>
      <c r="K32" s="48"/>
      <c r="L32" s="48"/>
      <c r="M32" s="48"/>
      <c r="N32" s="48"/>
    </row>
    <row r="33" spans="1:14" x14ac:dyDescent="0.25">
      <c r="A33" s="11">
        <v>485</v>
      </c>
      <c r="B33" s="18">
        <v>0.19878103734997332</v>
      </c>
      <c r="C33" s="19">
        <v>1.4398324773500502</v>
      </c>
      <c r="D33" s="44">
        <v>2.7573009584725017</v>
      </c>
      <c r="E33" s="30"/>
      <c r="F33" s="48"/>
      <c r="G33" s="48"/>
      <c r="H33" s="48"/>
      <c r="I33" s="48"/>
      <c r="K33" s="48"/>
      <c r="L33" s="48"/>
      <c r="M33" s="48"/>
      <c r="N33" s="48"/>
    </row>
    <row r="34" spans="1:14" x14ac:dyDescent="0.25">
      <c r="A34" s="11">
        <v>490</v>
      </c>
      <c r="B34" s="18">
        <v>7.5842166314164947E-2</v>
      </c>
      <c r="C34" s="19">
        <v>1.5875357158724281</v>
      </c>
      <c r="D34" s="44">
        <v>1.9442747944612782</v>
      </c>
      <c r="E34" s="30"/>
      <c r="F34" s="48"/>
      <c r="G34" s="48"/>
      <c r="H34" s="48"/>
      <c r="I34" s="48"/>
      <c r="J34" s="48"/>
      <c r="K34" s="48"/>
      <c r="L34" s="48"/>
      <c r="M34" s="48"/>
      <c r="N34" s="48"/>
    </row>
    <row r="35" spans="1:14" x14ac:dyDescent="0.25">
      <c r="A35" s="11">
        <v>495</v>
      </c>
      <c r="B35" s="18">
        <v>2.3942072757162602E-2</v>
      </c>
      <c r="C35" s="19">
        <v>1.8562148172906063</v>
      </c>
      <c r="D35" s="44">
        <v>1.4196240787776413</v>
      </c>
      <c r="E35" s="30"/>
      <c r="F35" s="48"/>
      <c r="G35" s="48"/>
      <c r="H35" s="48"/>
      <c r="I35" s="48"/>
      <c r="J35" s="48"/>
      <c r="K35" s="48"/>
      <c r="L35" s="48"/>
      <c r="M35" s="48"/>
      <c r="N35" s="48"/>
    </row>
    <row r="36" spans="1:14" x14ac:dyDescent="0.25">
      <c r="A36" s="11">
        <v>500</v>
      </c>
      <c r="B36" s="18">
        <v>1.7888245154845599E-2</v>
      </c>
      <c r="C36" s="19">
        <v>2.1691850966718027</v>
      </c>
      <c r="D36" s="44">
        <v>1.0285740964036219</v>
      </c>
      <c r="E36" s="30"/>
      <c r="F36" s="48"/>
      <c r="G36" s="48"/>
      <c r="H36" s="48"/>
      <c r="I36" s="48"/>
      <c r="J36" s="48"/>
      <c r="K36" s="48"/>
      <c r="L36" s="48"/>
      <c r="M36" s="48"/>
      <c r="N36" s="48"/>
    </row>
    <row r="37" spans="1:14" x14ac:dyDescent="0.25">
      <c r="A37" s="11">
        <v>505</v>
      </c>
      <c r="B37" s="18">
        <v>7.1964343131843467E-2</v>
      </c>
      <c r="C37" s="19">
        <v>2.4832371389780268</v>
      </c>
      <c r="D37" s="44">
        <v>0.74394307964866757</v>
      </c>
      <c r="E37" s="30"/>
      <c r="F37" s="48"/>
      <c r="G37" s="48"/>
      <c r="H37" s="48"/>
      <c r="I37" s="48"/>
      <c r="J37" s="48"/>
      <c r="K37" s="48"/>
      <c r="L37" s="48"/>
      <c r="M37" s="48"/>
      <c r="N37" s="48"/>
    </row>
    <row r="38" spans="1:14" x14ac:dyDescent="0.25">
      <c r="A38" s="11">
        <v>510</v>
      </c>
      <c r="B38" s="18">
        <v>0.17394696198995313</v>
      </c>
      <c r="C38" s="19">
        <v>2.8142299157147885</v>
      </c>
      <c r="D38" s="44">
        <v>0.5195215931433268</v>
      </c>
      <c r="E38" s="30"/>
      <c r="F38" s="48"/>
      <c r="G38" s="48"/>
      <c r="H38" s="48"/>
      <c r="I38" s="48"/>
      <c r="J38" s="48"/>
      <c r="K38" s="48"/>
      <c r="L38" s="48"/>
      <c r="M38" s="48"/>
      <c r="N38" s="48"/>
    </row>
    <row r="39" spans="1:14" x14ac:dyDescent="0.25">
      <c r="A39" s="11">
        <v>515</v>
      </c>
      <c r="B39" s="18">
        <v>0.32658655066186426</v>
      </c>
      <c r="C39" s="19">
        <v>3.1364201370986038</v>
      </c>
      <c r="D39" s="44">
        <v>0.37598619698046554</v>
      </c>
      <c r="E39" s="30"/>
      <c r="F39" s="48"/>
      <c r="G39" s="48"/>
      <c r="H39" s="48"/>
      <c r="I39" s="48"/>
      <c r="J39" s="48"/>
      <c r="K39" s="48"/>
      <c r="L39" s="48"/>
      <c r="M39" s="48"/>
      <c r="N39" s="48"/>
    </row>
    <row r="40" spans="1:14" x14ac:dyDescent="0.25">
      <c r="A40" s="11">
        <v>520</v>
      </c>
      <c r="B40" s="18">
        <v>0.53076779672667707</v>
      </c>
      <c r="C40" s="19">
        <v>3.4353348134781876</v>
      </c>
      <c r="D40" s="44">
        <v>0.27372646781061427</v>
      </c>
      <c r="E40" s="30"/>
      <c r="F40" s="48"/>
      <c r="H40" s="48"/>
      <c r="I40" s="48"/>
      <c r="J40" s="48"/>
      <c r="K40" s="48"/>
      <c r="L40" s="48"/>
      <c r="M40" s="48"/>
      <c r="N40" s="48"/>
    </row>
    <row r="41" spans="1:14" x14ac:dyDescent="0.25">
      <c r="A41" s="12">
        <v>525</v>
      </c>
      <c r="B41" s="20">
        <v>0.7905647381216111</v>
      </c>
      <c r="C41" s="21">
        <v>3.7622656005521531</v>
      </c>
      <c r="D41" s="45">
        <v>0.196955723774806</v>
      </c>
      <c r="E41" s="42"/>
      <c r="F41" s="48"/>
      <c r="G41" s="48"/>
      <c r="H41" s="48"/>
      <c r="I41" s="48"/>
      <c r="J41" s="48"/>
      <c r="K41" s="48"/>
      <c r="L41" s="48"/>
      <c r="M41" s="48"/>
      <c r="N41" s="48"/>
    </row>
    <row r="42" spans="1:14" x14ac:dyDescent="0.25">
      <c r="A42" s="11">
        <v>530</v>
      </c>
      <c r="B42" s="18">
        <v>1.0960078580566965</v>
      </c>
      <c r="C42" s="19">
        <v>4.0559242172144643</v>
      </c>
      <c r="D42" s="44">
        <v>0.14134562228638159</v>
      </c>
      <c r="E42" s="43"/>
      <c r="F42" s="48"/>
      <c r="G42" s="48"/>
      <c r="H42" s="48"/>
      <c r="I42" s="48"/>
      <c r="J42" s="48"/>
      <c r="K42" s="48"/>
      <c r="L42" s="48"/>
      <c r="M42" s="48"/>
      <c r="N42" s="48"/>
    </row>
    <row r="43" spans="1:14" x14ac:dyDescent="0.25">
      <c r="A43" s="11">
        <v>535</v>
      </c>
      <c r="B43" s="18">
        <v>1.3874964944362245</v>
      </c>
      <c r="C43" s="19">
        <v>4.2135741668645101</v>
      </c>
      <c r="D43" s="44">
        <v>9.3959328683057938E-2</v>
      </c>
      <c r="E43" s="30"/>
      <c r="F43" s="48"/>
      <c r="G43" s="48"/>
      <c r="H43" s="48"/>
      <c r="I43" s="48"/>
      <c r="J43" s="48"/>
      <c r="K43" s="48"/>
      <c r="L43" s="48"/>
      <c r="M43" s="48"/>
      <c r="N43" s="48"/>
    </row>
    <row r="44" spans="1:14" x14ac:dyDescent="0.25">
      <c r="A44" s="11">
        <v>540</v>
      </c>
      <c r="B44" s="18">
        <v>1.6926930550411423</v>
      </c>
      <c r="C44" s="19">
        <v>4.3215783411613025</v>
      </c>
      <c r="D44" s="44">
        <v>6.1544306937536229E-2</v>
      </c>
      <c r="E44" s="30"/>
      <c r="F44" s="48"/>
      <c r="H44" s="48"/>
      <c r="I44" s="48"/>
      <c r="J44" s="48"/>
      <c r="K44" s="48"/>
      <c r="L44" s="48"/>
      <c r="M44" s="48"/>
      <c r="N44" s="48"/>
    </row>
    <row r="45" spans="1:14" x14ac:dyDescent="0.25">
      <c r="A45" s="11">
        <v>545</v>
      </c>
      <c r="B45" s="18">
        <v>2.0248295572571102</v>
      </c>
      <c r="C45" s="19">
        <v>4.4038697766561858</v>
      </c>
      <c r="D45" s="44">
        <v>3.5421066214196571E-2</v>
      </c>
      <c r="E45" s="30"/>
      <c r="F45" s="48"/>
      <c r="G45" s="48"/>
      <c r="H45" s="48"/>
      <c r="I45" s="48"/>
      <c r="J45" s="48"/>
      <c r="K45" s="48"/>
      <c r="L45" s="48"/>
      <c r="M45" s="48"/>
      <c r="N45" s="48"/>
    </row>
    <row r="46" spans="1:14" x14ac:dyDescent="0.25">
      <c r="A46" s="11">
        <v>550</v>
      </c>
      <c r="B46" s="18">
        <v>2.3708938647066979</v>
      </c>
      <c r="C46" s="19">
        <v>4.4383777557872834</v>
      </c>
      <c r="D46" s="44">
        <v>1.7900293429269142E-2</v>
      </c>
      <c r="E46" s="30"/>
      <c r="F46" s="48"/>
      <c r="G46" s="48"/>
      <c r="H46" s="48"/>
      <c r="I46" s="48"/>
      <c r="J46" s="48"/>
      <c r="K46" s="48"/>
      <c r="L46" s="48"/>
      <c r="M46" s="48"/>
      <c r="N46" s="48"/>
    </row>
    <row r="47" spans="1:14" x14ac:dyDescent="0.25">
      <c r="A47" s="11">
        <v>555</v>
      </c>
      <c r="B47" s="18">
        <v>2.7040716820692721</v>
      </c>
      <c r="C47" s="19">
        <v>4.38506414146309</v>
      </c>
      <c r="D47" s="44">
        <v>4.8279156797211486E-3</v>
      </c>
      <c r="E47" s="30"/>
      <c r="F47" s="48"/>
      <c r="G47" s="48"/>
      <c r="H47" s="48"/>
      <c r="I47" s="48"/>
      <c r="J47" s="48"/>
      <c r="K47" s="48"/>
      <c r="L47" s="48"/>
      <c r="M47" s="48"/>
      <c r="N47" s="48"/>
    </row>
    <row r="48" spans="1:14" x14ac:dyDescent="0.25">
      <c r="A48" s="11">
        <v>560</v>
      </c>
      <c r="B48" s="18">
        <v>3.0344439726732215</v>
      </c>
      <c r="C48" s="19">
        <v>4.2913371723582001</v>
      </c>
      <c r="D48" s="44">
        <v>0</v>
      </c>
      <c r="E48" s="30"/>
      <c r="F48" s="48"/>
      <c r="H48" s="48"/>
      <c r="I48" s="48"/>
      <c r="J48" s="48"/>
      <c r="K48" s="48"/>
      <c r="L48" s="48"/>
      <c r="M48" s="48"/>
      <c r="N48" s="48"/>
    </row>
    <row r="49" spans="1:14" x14ac:dyDescent="0.25">
      <c r="A49" s="11">
        <v>565</v>
      </c>
      <c r="B49" s="18">
        <v>3.3542034546920858</v>
      </c>
      <c r="C49" s="19">
        <v>4.1511331240734508</v>
      </c>
      <c r="D49" s="44">
        <v>0</v>
      </c>
      <c r="E49" s="30"/>
      <c r="F49" s="48"/>
      <c r="G49" s="48"/>
      <c r="H49" s="48"/>
      <c r="I49" s="48"/>
      <c r="J49" s="48"/>
      <c r="K49" s="48"/>
      <c r="L49" s="48"/>
      <c r="M49" s="48"/>
      <c r="N49" s="48"/>
    </row>
    <row r="50" spans="1:14" x14ac:dyDescent="0.25">
      <c r="A50" s="11">
        <v>570</v>
      </c>
      <c r="B50" s="18">
        <v>3.6411094438355143</v>
      </c>
      <c r="C50" s="19">
        <v>3.9597634966760187</v>
      </c>
      <c r="D50" s="44">
        <v>0</v>
      </c>
      <c r="E50" s="30"/>
      <c r="F50" s="48"/>
      <c r="G50" s="48"/>
      <c r="H50" s="48"/>
      <c r="I50" s="48"/>
      <c r="J50" s="48"/>
      <c r="K50" s="48"/>
      <c r="L50" s="48"/>
      <c r="M50" s="48"/>
      <c r="N50" s="48"/>
    </row>
    <row r="51" spans="1:14" x14ac:dyDescent="0.25">
      <c r="A51" s="12">
        <v>575</v>
      </c>
      <c r="B51" s="20">
        <v>3.9333450732293018</v>
      </c>
      <c r="C51" s="21">
        <v>3.7844800368160816</v>
      </c>
      <c r="D51" s="45">
        <v>0</v>
      </c>
      <c r="E51" s="42"/>
      <c r="F51" s="48"/>
      <c r="G51" s="48"/>
      <c r="H51" s="48"/>
      <c r="I51" s="48"/>
      <c r="J51" s="48"/>
      <c r="K51" s="48"/>
      <c r="L51" s="48"/>
      <c r="M51" s="48"/>
      <c r="N51" s="48"/>
    </row>
    <row r="52" spans="1:14" x14ac:dyDescent="0.25">
      <c r="A52" s="11">
        <v>580</v>
      </c>
      <c r="B52" s="18">
        <v>4.1807667156091934</v>
      </c>
      <c r="C52" s="19">
        <v>3.5818065462362725</v>
      </c>
      <c r="D52" s="44">
        <v>0</v>
      </c>
      <c r="E52" s="43"/>
      <c r="F52" s="48"/>
      <c r="H52" s="48"/>
      <c r="I52" s="48"/>
      <c r="J52" s="48"/>
      <c r="K52" s="48"/>
      <c r="L52" s="48"/>
      <c r="M52" s="48"/>
      <c r="N52" s="48"/>
    </row>
    <row r="53" spans="1:14" x14ac:dyDescent="0.25">
      <c r="A53" s="11">
        <v>585</v>
      </c>
      <c r="B53" s="18">
        <v>4.2620968709232834</v>
      </c>
      <c r="C53" s="19">
        <v>3.2754232306006359</v>
      </c>
      <c r="D53" s="44">
        <v>0</v>
      </c>
      <c r="E53" s="30"/>
      <c r="F53" s="48"/>
      <c r="G53" s="48"/>
      <c r="H53" s="48"/>
      <c r="I53" s="48"/>
      <c r="J53" s="48"/>
      <c r="K53" s="48"/>
      <c r="L53" s="48"/>
      <c r="M53" s="48"/>
      <c r="N53" s="48"/>
    </row>
    <row r="54" spans="1:14" x14ac:dyDescent="0.25">
      <c r="A54" s="11">
        <v>590</v>
      </c>
      <c r="B54" s="18">
        <v>4.2690026836455521</v>
      </c>
      <c r="C54" s="19">
        <v>2.9671190757854733</v>
      </c>
      <c r="D54" s="44">
        <v>0</v>
      </c>
      <c r="E54" s="30"/>
      <c r="F54" s="48"/>
      <c r="G54" s="48"/>
      <c r="H54" s="48"/>
      <c r="I54" s="48"/>
      <c r="J54" s="48"/>
      <c r="K54" s="48"/>
      <c r="L54" s="48"/>
      <c r="M54" s="48"/>
      <c r="N54" s="48"/>
    </row>
    <row r="55" spans="1:14" x14ac:dyDescent="0.25">
      <c r="A55" s="11">
        <v>595</v>
      </c>
      <c r="B55" s="18">
        <v>4.3585919310769832</v>
      </c>
      <c r="C55" s="19">
        <v>2.7681650596384193</v>
      </c>
      <c r="D55" s="44">
        <v>0</v>
      </c>
      <c r="E55" s="30"/>
      <c r="F55" s="48"/>
      <c r="H55" s="48"/>
      <c r="I55" s="48"/>
      <c r="J55" s="48"/>
      <c r="K55" s="48"/>
      <c r="L55" s="48"/>
      <c r="M55" s="48"/>
      <c r="N55" s="48"/>
    </row>
    <row r="56" spans="1:14" x14ac:dyDescent="0.25">
      <c r="A56" s="11">
        <v>600</v>
      </c>
      <c r="B56" s="18">
        <v>4.3528694310213139</v>
      </c>
      <c r="C56" s="19">
        <v>2.5493718384709347</v>
      </c>
      <c r="D56" s="44">
        <v>0</v>
      </c>
      <c r="E56" s="30"/>
      <c r="F56" s="48"/>
      <c r="G56" s="48"/>
      <c r="H56" s="48"/>
      <c r="I56" s="48"/>
      <c r="J56" s="48"/>
      <c r="K56" s="48"/>
      <c r="L56" s="48"/>
      <c r="M56" s="48"/>
      <c r="N56" s="48"/>
    </row>
    <row r="57" spans="1:14" x14ac:dyDescent="0.25">
      <c r="A57" s="11">
        <v>605</v>
      </c>
      <c r="B57" s="18">
        <v>4.2083409128095397</v>
      </c>
      <c r="C57" s="19">
        <v>2.2948615077748471</v>
      </c>
      <c r="D57" s="44">
        <v>0</v>
      </c>
      <c r="E57" s="30"/>
      <c r="F57" s="48"/>
      <c r="G57" s="48"/>
      <c r="H57" s="48"/>
      <c r="I57" s="48"/>
      <c r="J57" s="48"/>
      <c r="K57" s="48"/>
      <c r="L57" s="48"/>
      <c r="M57" s="48"/>
      <c r="N57" s="48"/>
    </row>
    <row r="58" spans="1:14" x14ac:dyDescent="0.25">
      <c r="A58" s="11">
        <v>610</v>
      </c>
      <c r="B58" s="18">
        <v>3.973038973908706</v>
      </c>
      <c r="C58" s="19">
        <v>2.0356764466024231</v>
      </c>
      <c r="D58" s="44">
        <v>0</v>
      </c>
      <c r="E58" s="30"/>
      <c r="F58" s="48"/>
      <c r="H58" s="48"/>
      <c r="I58" s="48"/>
      <c r="J58" s="48"/>
      <c r="K58" s="48"/>
      <c r="L58" s="48"/>
      <c r="M58" s="48"/>
      <c r="N58" s="48"/>
    </row>
    <row r="59" spans="1:14" x14ac:dyDescent="0.25">
      <c r="A59" s="11">
        <v>615</v>
      </c>
      <c r="B59" s="18">
        <v>3.6244660436059299</v>
      </c>
      <c r="C59" s="19">
        <v>1.7605747543254637</v>
      </c>
      <c r="D59" s="44">
        <v>0</v>
      </c>
      <c r="E59" s="30"/>
      <c r="F59" s="48"/>
      <c r="G59" s="48"/>
      <c r="H59" s="48"/>
      <c r="I59" s="48"/>
      <c r="J59" s="48"/>
      <c r="K59" s="48"/>
      <c r="L59" s="48"/>
      <c r="M59" s="48"/>
      <c r="N59" s="48"/>
    </row>
    <row r="60" spans="1:14" x14ac:dyDescent="0.25">
      <c r="A60" s="11">
        <v>620</v>
      </c>
      <c r="B60" s="18">
        <v>3.2314121750179656</v>
      </c>
      <c r="C60" s="19">
        <v>1.5023066528957749</v>
      </c>
      <c r="D60" s="44">
        <v>0</v>
      </c>
      <c r="E60" s="30"/>
      <c r="F60" s="48"/>
      <c r="G60" s="48"/>
      <c r="H60" s="48"/>
      <c r="I60" s="48"/>
      <c r="J60" s="48"/>
      <c r="K60" s="48"/>
      <c r="L60" s="48"/>
      <c r="M60" s="48"/>
      <c r="N60" s="48"/>
    </row>
    <row r="61" spans="1:14" x14ac:dyDescent="0.25">
      <c r="A61" s="12">
        <v>625</v>
      </c>
      <c r="B61" s="20">
        <v>2.7772972213559517</v>
      </c>
      <c r="C61" s="21">
        <v>1.2493974518114734</v>
      </c>
      <c r="D61" s="45">
        <v>0</v>
      </c>
      <c r="E61" s="42"/>
      <c r="F61" s="48"/>
      <c r="G61" s="48"/>
      <c r="H61" s="48"/>
      <c r="I61" s="48"/>
      <c r="J61" s="48"/>
      <c r="K61" s="48"/>
      <c r="L61" s="48"/>
      <c r="M61" s="48"/>
      <c r="N61" s="48"/>
    </row>
    <row r="62" spans="1:14" x14ac:dyDescent="0.25">
      <c r="A62" s="11">
        <v>630</v>
      </c>
      <c r="B62" s="18">
        <v>2.3208741625507989</v>
      </c>
      <c r="C62" s="19">
        <v>1.0161665252249443</v>
      </c>
      <c r="D62" s="44">
        <v>0</v>
      </c>
      <c r="E62" s="43"/>
      <c r="F62" s="48"/>
      <c r="G62" s="48"/>
      <c r="H62" s="48"/>
      <c r="I62" s="48"/>
      <c r="J62" s="48"/>
      <c r="K62" s="48"/>
      <c r="L62" s="48"/>
      <c r="M62" s="48"/>
      <c r="N62" s="48"/>
    </row>
    <row r="63" spans="1:14" x14ac:dyDescent="0.25">
      <c r="A63" s="11">
        <v>635</v>
      </c>
      <c r="B63" s="18">
        <v>1.922596936704712</v>
      </c>
      <c r="C63" s="19">
        <v>0.82027449196353153</v>
      </c>
      <c r="D63" s="44">
        <v>0</v>
      </c>
      <c r="E63" s="30"/>
      <c r="F63" s="48"/>
      <c r="G63" s="48"/>
      <c r="H63" s="48"/>
      <c r="I63" s="48"/>
      <c r="J63" s="48"/>
      <c r="K63" s="48"/>
      <c r="L63" s="48"/>
      <c r="M63" s="48"/>
      <c r="N63" s="48"/>
    </row>
    <row r="64" spans="1:14" x14ac:dyDescent="0.25">
      <c r="A64" s="11">
        <v>640</v>
      </c>
      <c r="B64" s="18">
        <v>1.5544391060309459</v>
      </c>
      <c r="C64" s="19">
        <v>0.64756290839750708</v>
      </c>
      <c r="D64" s="44">
        <v>0</v>
      </c>
      <c r="E64" s="30"/>
      <c r="F64" s="48"/>
      <c r="G64" s="48"/>
      <c r="H64" s="48"/>
      <c r="I64" s="48"/>
      <c r="J64" s="48"/>
      <c r="K64" s="48"/>
      <c r="L64" s="48"/>
      <c r="M64" s="48"/>
      <c r="N64" s="48"/>
    </row>
    <row r="65" spans="1:14" x14ac:dyDescent="0.25">
      <c r="A65" s="11">
        <v>645</v>
      </c>
      <c r="B65" s="18">
        <v>1.2112401364165866</v>
      </c>
      <c r="C65" s="19">
        <v>0.49408166169800827</v>
      </c>
      <c r="D65" s="44">
        <v>0</v>
      </c>
      <c r="E65" s="30"/>
      <c r="F65" s="48"/>
      <c r="G65" s="48"/>
      <c r="H65" s="48"/>
      <c r="I65" s="48"/>
      <c r="J65" s="48"/>
      <c r="K65" s="48"/>
      <c r="L65" s="48"/>
      <c r="M65" s="48"/>
      <c r="N65" s="48"/>
    </row>
    <row r="66" spans="1:14" x14ac:dyDescent="0.25">
      <c r="A66" s="11">
        <v>650</v>
      </c>
      <c r="B66" s="18">
        <v>0.92358629366786738</v>
      </c>
      <c r="C66" s="19">
        <v>0.37039837942103071</v>
      </c>
      <c r="D66" s="44">
        <v>0</v>
      </c>
      <c r="E66" s="30"/>
      <c r="F66" s="48"/>
      <c r="G66" s="48"/>
      <c r="H66" s="48"/>
      <c r="I66" s="48"/>
      <c r="J66" s="48"/>
      <c r="K66" s="48"/>
      <c r="L66" s="48"/>
      <c r="M66" s="48"/>
      <c r="N66" s="48"/>
    </row>
    <row r="67" spans="1:14" x14ac:dyDescent="0.25">
      <c r="A67" s="11">
        <v>655</v>
      </c>
      <c r="B67" s="18">
        <v>0.7041540836604202</v>
      </c>
      <c r="C67" s="19">
        <v>0.27986936658456252</v>
      </c>
      <c r="D67" s="44">
        <v>0</v>
      </c>
      <c r="E67" s="30"/>
      <c r="F67" s="48"/>
      <c r="G67" s="48"/>
      <c r="H67" s="48"/>
      <c r="I67" s="48"/>
      <c r="J67" s="48"/>
      <c r="K67" s="48"/>
      <c r="L67" s="48"/>
      <c r="M67" s="48"/>
      <c r="N67" s="48"/>
    </row>
    <row r="68" spans="1:14" x14ac:dyDescent="0.25">
      <c r="A68" s="11">
        <v>660</v>
      </c>
      <c r="B68" s="18">
        <v>0.52661802677879566</v>
      </c>
      <c r="C68" s="19">
        <v>0.20809349288834453</v>
      </c>
      <c r="D68" s="44">
        <v>0</v>
      </c>
      <c r="E68" s="30"/>
      <c r="F68" s="48"/>
      <c r="G68" s="48"/>
      <c r="H68" s="48"/>
      <c r="I68" s="48"/>
      <c r="J68" s="48"/>
      <c r="K68" s="48"/>
      <c r="L68" s="48"/>
      <c r="M68" s="48"/>
      <c r="N68" s="48"/>
    </row>
    <row r="69" spans="1:14" x14ac:dyDescent="0.25">
      <c r="A69" s="11">
        <v>665</v>
      </c>
      <c r="B69" s="18">
        <v>0.39202675319335728</v>
      </c>
      <c r="C69" s="19">
        <v>0.15408538160273669</v>
      </c>
      <c r="D69" s="44">
        <v>0</v>
      </c>
      <c r="E69" s="30"/>
      <c r="F69" s="48"/>
      <c r="G69" s="48"/>
      <c r="H69" s="48"/>
      <c r="I69" s="48"/>
      <c r="J69" s="48"/>
      <c r="K69" s="48"/>
      <c r="L69" s="48"/>
      <c r="M69" s="48"/>
      <c r="N69" s="48"/>
    </row>
    <row r="70" spans="1:14" x14ac:dyDescent="0.25">
      <c r="A70" s="11">
        <v>670</v>
      </c>
      <c r="B70" s="18">
        <v>0.28791029887573444</v>
      </c>
      <c r="C70" s="19">
        <v>0.11261436044585924</v>
      </c>
      <c r="D70" s="44">
        <v>0</v>
      </c>
      <c r="E70" s="30"/>
      <c r="F70" s="48"/>
      <c r="G70" s="48"/>
      <c r="H70" s="48"/>
      <c r="I70" s="48"/>
      <c r="J70" s="48"/>
      <c r="K70" s="48"/>
      <c r="L70" s="48"/>
      <c r="M70" s="48"/>
      <c r="N70" s="48"/>
    </row>
    <row r="71" spans="1:14" x14ac:dyDescent="0.25">
      <c r="A71" s="12">
        <v>675</v>
      </c>
      <c r="B71" s="20">
        <v>0.20006030591644489</v>
      </c>
      <c r="C71" s="21">
        <v>7.8089169494156369E-2</v>
      </c>
      <c r="D71" s="45">
        <v>0</v>
      </c>
      <c r="E71" s="42"/>
      <c r="F71" s="48"/>
      <c r="G71" s="48"/>
      <c r="H71" s="48"/>
      <c r="I71" s="48"/>
      <c r="J71" s="48"/>
      <c r="K71" s="48"/>
      <c r="L71" s="48"/>
      <c r="M71" s="48"/>
      <c r="N71" s="48"/>
    </row>
    <row r="72" spans="1:14" x14ac:dyDescent="0.25">
      <c r="A72" s="11">
        <v>680</v>
      </c>
      <c r="B72" s="18">
        <v>0.13780084783276814</v>
      </c>
      <c r="C72" s="19">
        <v>5.3570500746724051E-2</v>
      </c>
      <c r="D72" s="44">
        <v>0</v>
      </c>
      <c r="E72" s="43"/>
      <c r="F72" s="48"/>
      <c r="G72" s="48"/>
      <c r="H72" s="48"/>
      <c r="I72" s="48"/>
      <c r="J72" s="48"/>
      <c r="K72" s="48"/>
      <c r="L72" s="48"/>
      <c r="M72" s="48"/>
      <c r="N72" s="48"/>
    </row>
    <row r="73" spans="1:14" x14ac:dyDescent="0.25">
      <c r="A73" s="11">
        <v>685</v>
      </c>
      <c r="B73" s="18">
        <v>9.1067742821406769E-2</v>
      </c>
      <c r="C73" s="19">
        <v>3.5344473612504021E-2</v>
      </c>
      <c r="D73" s="44">
        <v>0</v>
      </c>
      <c r="E73" s="30"/>
      <c r="F73" s="48"/>
      <c r="G73" s="48"/>
      <c r="H73" s="48"/>
      <c r="I73" s="48"/>
      <c r="J73" s="48"/>
      <c r="K73" s="48"/>
      <c r="L73" s="48"/>
      <c r="M73" s="48"/>
      <c r="N73" s="48"/>
    </row>
    <row r="74" spans="1:14" x14ac:dyDescent="0.25">
      <c r="A74" s="11">
        <v>690</v>
      </c>
      <c r="B74" s="18">
        <v>5.9683278834613419E-2</v>
      </c>
      <c r="C74" s="19">
        <v>2.3093530001332827E-2</v>
      </c>
      <c r="D74" s="44">
        <v>0</v>
      </c>
      <c r="E74" s="30"/>
      <c r="F74" s="48"/>
      <c r="G74" s="48"/>
      <c r="H74" s="48"/>
      <c r="I74" s="48"/>
      <c r="J74" s="48"/>
      <c r="K74" s="48"/>
      <c r="L74" s="48"/>
      <c r="M74" s="48"/>
      <c r="N74" s="48"/>
    </row>
    <row r="75" spans="1:14" x14ac:dyDescent="0.25">
      <c r="A75" s="11">
        <v>695</v>
      </c>
      <c r="B75" s="18">
        <v>4.1982212228847911E-2</v>
      </c>
      <c r="C75" s="19">
        <v>1.6427822176505704E-2</v>
      </c>
      <c r="D75" s="44">
        <v>0</v>
      </c>
      <c r="E75" s="30"/>
      <c r="F75" s="48"/>
      <c r="G75" s="48"/>
      <c r="H75" s="48"/>
      <c r="I75" s="48"/>
      <c r="J75" s="48"/>
      <c r="K75" s="48"/>
      <c r="L75" s="48"/>
      <c r="M75" s="48"/>
      <c r="N75" s="48"/>
    </row>
    <row r="76" spans="1:14" x14ac:dyDescent="0.25">
      <c r="A76" s="11">
        <v>700</v>
      </c>
      <c r="B76" s="18">
        <v>2.9576792527746237E-2</v>
      </c>
      <c r="C76" s="19">
        <v>1.1399388786735531E-2</v>
      </c>
      <c r="D76" s="44">
        <v>0</v>
      </c>
      <c r="E76" s="30"/>
      <c r="F76" s="48"/>
      <c r="G76" s="48"/>
      <c r="H76" s="48"/>
      <c r="I76" s="48"/>
      <c r="J76" s="48"/>
      <c r="K76" s="48"/>
      <c r="L76" s="48"/>
      <c r="M76" s="48"/>
      <c r="N76" s="48"/>
    </row>
    <row r="77" spans="1:14" x14ac:dyDescent="0.25">
      <c r="A77" s="11">
        <v>705</v>
      </c>
      <c r="B77" s="18">
        <v>2.073163791880258E-2</v>
      </c>
      <c r="C77" s="19">
        <v>8.1670088771040455E-3</v>
      </c>
      <c r="D77" s="44">
        <v>0</v>
      </c>
      <c r="E77" s="30"/>
      <c r="F77" s="48"/>
      <c r="G77" s="48"/>
      <c r="H77" s="48"/>
      <c r="I77" s="48"/>
      <c r="J77" s="48"/>
      <c r="K77" s="48"/>
      <c r="L77" s="48"/>
      <c r="M77" s="48"/>
      <c r="N77" s="48"/>
    </row>
    <row r="78" spans="1:14" x14ac:dyDescent="0.25">
      <c r="A78" s="11">
        <v>710</v>
      </c>
      <c r="B78" s="18">
        <v>1.4706640115999056E-2</v>
      </c>
      <c r="C78" s="19">
        <v>5.7547722193039786E-3</v>
      </c>
      <c r="D78" s="44">
        <v>0</v>
      </c>
      <c r="E78" s="30"/>
      <c r="F78" s="48"/>
      <c r="G78" s="48"/>
      <c r="H78" s="48"/>
      <c r="I78" s="48"/>
      <c r="J78" s="48"/>
      <c r="K78" s="48"/>
      <c r="L78" s="48"/>
      <c r="M78" s="48"/>
      <c r="N78" s="48"/>
    </row>
    <row r="79" spans="1:14" x14ac:dyDescent="0.25">
      <c r="A79" s="11">
        <v>715</v>
      </c>
      <c r="B79" s="18">
        <v>9.0706294588700359E-3</v>
      </c>
      <c r="C79" s="19">
        <v>3.5112114034335624E-3</v>
      </c>
      <c r="D79" s="44">
        <v>0</v>
      </c>
      <c r="E79" s="30"/>
      <c r="F79" s="48"/>
      <c r="G79" s="48"/>
      <c r="H79" s="48"/>
      <c r="I79" s="48"/>
      <c r="J79" s="48"/>
      <c r="K79" s="48"/>
      <c r="L79" s="48"/>
      <c r="M79" s="48"/>
      <c r="N79" s="48"/>
    </row>
    <row r="80" spans="1:14" x14ac:dyDescent="0.25">
      <c r="A80" s="11">
        <v>720</v>
      </c>
      <c r="B80" s="18">
        <v>5.8313648209965246E-3</v>
      </c>
      <c r="C80" s="19">
        <v>2.120496298544191E-3</v>
      </c>
      <c r="D80" s="44">
        <v>0</v>
      </c>
      <c r="E80" s="30"/>
      <c r="F80" s="48"/>
      <c r="G80" s="48"/>
      <c r="H80" s="48"/>
      <c r="I80" s="48"/>
      <c r="J80" s="48"/>
      <c r="K80" s="48"/>
      <c r="L80" s="48"/>
      <c r="M80" s="48"/>
      <c r="N80" s="48"/>
    </row>
    <row r="81" spans="1:14" x14ac:dyDescent="0.25">
      <c r="A81" s="12">
        <v>725</v>
      </c>
      <c r="B81" s="20">
        <v>4.2405623015732549E-3</v>
      </c>
      <c r="C81" s="21">
        <v>1.6962249206293018E-3</v>
      </c>
      <c r="D81" s="45">
        <v>0</v>
      </c>
      <c r="E81" s="42"/>
      <c r="F81" s="48"/>
      <c r="G81" s="48"/>
      <c r="H81" s="48"/>
      <c r="I81" s="48"/>
      <c r="J81" s="48"/>
      <c r="K81" s="48"/>
      <c r="L81" s="48"/>
      <c r="M81" s="48"/>
      <c r="N81" s="48"/>
    </row>
    <row r="82" spans="1:14" x14ac:dyDescent="0.25">
      <c r="A82" s="11">
        <v>730</v>
      </c>
      <c r="B82" s="18">
        <v>3.0077656507353679E-3</v>
      </c>
      <c r="C82" s="19">
        <v>1.2031062602941474E-3</v>
      </c>
      <c r="D82" s="44">
        <v>0</v>
      </c>
      <c r="E82" s="43"/>
      <c r="F82" s="48"/>
      <c r="G82" s="48"/>
      <c r="H82" s="48"/>
      <c r="I82" s="48"/>
      <c r="J82" s="48"/>
      <c r="K82" s="48"/>
      <c r="L82" s="48"/>
      <c r="M82" s="48"/>
      <c r="N82" s="48"/>
    </row>
    <row r="83" spans="1:14" x14ac:dyDescent="0.25">
      <c r="A83" s="11">
        <v>735</v>
      </c>
      <c r="B83" s="18">
        <v>2.1837497392678097E-3</v>
      </c>
      <c r="C83" s="19">
        <v>9.3589274540048994E-4</v>
      </c>
      <c r="D83" s="44">
        <v>0</v>
      </c>
      <c r="E83" s="30"/>
      <c r="F83" s="48"/>
      <c r="G83" s="48"/>
      <c r="H83" s="48"/>
      <c r="I83" s="48"/>
      <c r="J83" s="48"/>
      <c r="K83" s="48"/>
      <c r="L83" s="48"/>
      <c r="M83" s="48"/>
      <c r="N83" s="48"/>
    </row>
    <row r="84" spans="1:14" x14ac:dyDescent="0.25">
      <c r="A84" s="11">
        <v>740</v>
      </c>
      <c r="B84" s="18">
        <v>1.6157596593006161E-3</v>
      </c>
      <c r="C84" s="19">
        <v>6.4630386372024646E-4</v>
      </c>
      <c r="D84" s="44">
        <v>0</v>
      </c>
      <c r="E84" s="30"/>
      <c r="F84" s="48"/>
      <c r="G84" s="48"/>
      <c r="H84" s="48"/>
      <c r="I84" s="48"/>
      <c r="J84" s="48"/>
      <c r="K84" s="48"/>
      <c r="L84" s="48"/>
      <c r="M84" s="48"/>
      <c r="N84" s="48"/>
    </row>
    <row r="85" spans="1:14" x14ac:dyDescent="0.25">
      <c r="A85" s="11">
        <v>745</v>
      </c>
      <c r="B85" s="18">
        <v>1.1927791679311073E-3</v>
      </c>
      <c r="C85" s="19">
        <v>2.9819479198277683E-4</v>
      </c>
      <c r="D85" s="44">
        <v>0</v>
      </c>
      <c r="E85" s="30"/>
      <c r="F85" s="48"/>
      <c r="G85" s="48"/>
      <c r="H85" s="48"/>
      <c r="I85" s="48"/>
      <c r="J85" s="48"/>
      <c r="K85" s="48"/>
      <c r="L85" s="48"/>
      <c r="M85" s="48"/>
      <c r="N85" s="48"/>
    </row>
    <row r="86" spans="1:14" x14ac:dyDescent="0.25">
      <c r="A86" s="11">
        <v>750</v>
      </c>
      <c r="B86" s="18">
        <v>8.2100384286167124E-4</v>
      </c>
      <c r="C86" s="19">
        <v>2.7366794762055706E-4</v>
      </c>
      <c r="D86" s="44">
        <v>0</v>
      </c>
      <c r="E86" s="30"/>
      <c r="F86" s="48"/>
      <c r="G86" s="48"/>
      <c r="H86" s="48"/>
      <c r="I86" s="48"/>
      <c r="J86" s="48"/>
      <c r="K86" s="48"/>
      <c r="L86" s="48"/>
      <c r="M86" s="48"/>
      <c r="N86" s="48"/>
    </row>
    <row r="87" spans="1:14" x14ac:dyDescent="0.25">
      <c r="A87" s="11">
        <v>755</v>
      </c>
      <c r="B87" s="18">
        <v>4.733250666393283E-4</v>
      </c>
      <c r="C87" s="19">
        <v>2.3666253331966415E-4</v>
      </c>
      <c r="D87" s="44">
        <v>0</v>
      </c>
      <c r="E87" s="30"/>
      <c r="F87" s="48"/>
      <c r="G87" s="48"/>
      <c r="H87" s="48"/>
      <c r="I87" s="48"/>
      <c r="J87" s="48"/>
      <c r="K87" s="48"/>
      <c r="L87" s="48"/>
      <c r="M87" s="48"/>
      <c r="N87" s="48"/>
    </row>
    <row r="88" spans="1:14" x14ac:dyDescent="0.25">
      <c r="A88" s="11">
        <v>760</v>
      </c>
      <c r="B88" s="18">
        <v>1.9965711901877121E-4</v>
      </c>
      <c r="C88" s="19">
        <v>0</v>
      </c>
      <c r="D88" s="44">
        <v>0</v>
      </c>
      <c r="E88" s="30"/>
      <c r="F88" s="48"/>
      <c r="G88" s="48"/>
      <c r="H88" s="48"/>
      <c r="I88" s="48"/>
      <c r="J88" s="48"/>
      <c r="K88" s="48"/>
      <c r="L88" s="48"/>
      <c r="M88" s="48"/>
      <c r="N88" s="48"/>
    </row>
    <row r="89" spans="1:14" x14ac:dyDescent="0.25">
      <c r="A89" s="11">
        <v>765</v>
      </c>
      <c r="B89" s="18">
        <v>2.4354726156169073E-4</v>
      </c>
      <c r="C89" s="19">
        <v>0</v>
      </c>
      <c r="D89" s="44">
        <v>0</v>
      </c>
      <c r="E89" s="30"/>
      <c r="F89" s="48"/>
      <c r="G89" s="48"/>
      <c r="H89" s="48"/>
      <c r="I89" s="48"/>
      <c r="J89" s="48"/>
      <c r="K89" s="48"/>
      <c r="L89" s="48"/>
      <c r="M89" s="48"/>
      <c r="N89" s="48"/>
    </row>
    <row r="90" spans="1:14" x14ac:dyDescent="0.25">
      <c r="A90" s="11">
        <v>770</v>
      </c>
      <c r="B90" s="18">
        <v>2.8743740410461027E-4</v>
      </c>
      <c r="C90" s="19">
        <v>0</v>
      </c>
      <c r="D90" s="44">
        <v>0</v>
      </c>
      <c r="E90" s="30"/>
      <c r="F90" s="48"/>
      <c r="G90" s="48"/>
      <c r="H90" s="48"/>
      <c r="I90" s="48"/>
      <c r="J90" s="48"/>
      <c r="K90" s="48"/>
      <c r="L90" s="48"/>
      <c r="M90" s="48"/>
      <c r="N90" s="48"/>
    </row>
    <row r="91" spans="1:14" x14ac:dyDescent="0.25">
      <c r="A91" s="12">
        <v>775</v>
      </c>
      <c r="B91" s="20">
        <v>0</v>
      </c>
      <c r="C91" s="21">
        <v>0</v>
      </c>
      <c r="D91" s="45">
        <v>0</v>
      </c>
      <c r="E91" s="42"/>
      <c r="F91" s="48"/>
      <c r="G91" s="48"/>
      <c r="H91" s="48"/>
      <c r="I91" s="48"/>
      <c r="J91" s="48"/>
      <c r="K91" s="48"/>
      <c r="L91" s="48"/>
      <c r="M91" s="48"/>
      <c r="N91" s="48"/>
    </row>
    <row r="92" spans="1:14" ht="15.75" thickBot="1" x14ac:dyDescent="0.3">
      <c r="A92" s="13">
        <v>780</v>
      </c>
      <c r="B92" s="22">
        <v>0</v>
      </c>
      <c r="C92" s="23">
        <v>0</v>
      </c>
      <c r="D92" s="46">
        <v>0</v>
      </c>
      <c r="E92" s="30"/>
      <c r="F92" s="48"/>
      <c r="G92" s="48"/>
      <c r="H92" s="48"/>
      <c r="I92" s="48"/>
      <c r="J92" s="48"/>
      <c r="K92" s="48"/>
      <c r="L92" s="48"/>
      <c r="M92" s="48"/>
      <c r="N92" s="48"/>
    </row>
    <row r="93" spans="1:14" ht="15.75" thickBot="1" x14ac:dyDescent="0.3">
      <c r="A93" s="49"/>
      <c r="B93" s="50"/>
      <c r="C93" s="24" t="s">
        <v>25</v>
      </c>
      <c r="D93" s="14" t="s">
        <v>6</v>
      </c>
      <c r="E93" s="118" t="s">
        <v>41</v>
      </c>
      <c r="F93" s="119"/>
      <c r="G93" s="119"/>
      <c r="H93" s="119"/>
      <c r="I93" s="119"/>
      <c r="J93" s="119"/>
      <c r="K93" s="119"/>
      <c r="L93" s="119"/>
      <c r="M93" s="119"/>
      <c r="N93" s="120"/>
    </row>
    <row r="94" spans="1:14" x14ac:dyDescent="0.25">
      <c r="A94" s="34"/>
      <c r="B94" s="35"/>
      <c r="C94" s="30"/>
      <c r="D94" s="15" t="s">
        <v>7</v>
      </c>
      <c r="E94" s="121" t="s">
        <v>42</v>
      </c>
      <c r="F94" s="122"/>
      <c r="G94" s="122"/>
      <c r="H94" s="122"/>
      <c r="I94" s="122"/>
      <c r="J94" s="122"/>
      <c r="K94" s="122"/>
      <c r="L94" s="122"/>
      <c r="M94" s="122"/>
      <c r="N94" s="123"/>
    </row>
    <row r="95" spans="1:14" ht="15.75" thickBot="1" x14ac:dyDescent="0.3">
      <c r="A95" s="34"/>
      <c r="B95" s="35"/>
      <c r="C95" s="30"/>
      <c r="D95" s="16" t="s">
        <v>8</v>
      </c>
      <c r="E95" s="106" t="s">
        <v>40</v>
      </c>
      <c r="F95" s="107"/>
      <c r="G95" s="107"/>
      <c r="H95" s="107"/>
      <c r="I95" s="107"/>
      <c r="J95" s="107"/>
      <c r="K95" s="107"/>
      <c r="L95" s="107"/>
      <c r="M95" s="107"/>
      <c r="N95" s="108"/>
    </row>
    <row r="96" spans="1:14" ht="15.75" thickBot="1" x14ac:dyDescent="0.3">
      <c r="A96" s="34"/>
      <c r="B96" s="35"/>
      <c r="C96" s="24" t="s">
        <v>24</v>
      </c>
      <c r="D96" s="14" t="s">
        <v>16</v>
      </c>
      <c r="E96" s="109" t="s">
        <v>43</v>
      </c>
      <c r="F96" s="110"/>
      <c r="G96" s="110"/>
      <c r="H96" s="110"/>
      <c r="I96" s="110"/>
      <c r="J96" s="110"/>
      <c r="K96" s="110"/>
      <c r="L96" s="110"/>
      <c r="M96" s="110"/>
      <c r="N96" s="111"/>
    </row>
    <row r="97" spans="1:14" x14ac:dyDescent="0.25">
      <c r="A97" s="34"/>
      <c r="B97" s="35"/>
      <c r="C97" s="30"/>
      <c r="D97" s="15" t="s">
        <v>17</v>
      </c>
      <c r="E97" s="112" t="s">
        <v>44</v>
      </c>
      <c r="F97" s="113"/>
      <c r="G97" s="113"/>
      <c r="H97" s="113"/>
      <c r="I97" s="113"/>
      <c r="J97" s="113"/>
      <c r="K97" s="113"/>
      <c r="L97" s="113"/>
      <c r="M97" s="113"/>
      <c r="N97" s="114"/>
    </row>
    <row r="98" spans="1:14" ht="15.75" thickBot="1" x14ac:dyDescent="0.3">
      <c r="A98" s="34"/>
      <c r="B98" s="35"/>
      <c r="C98" s="30"/>
      <c r="D98" s="16" t="s">
        <v>18</v>
      </c>
      <c r="E98" s="115" t="s">
        <v>45</v>
      </c>
      <c r="F98" s="116"/>
      <c r="G98" s="116"/>
      <c r="H98" s="116"/>
      <c r="I98" s="116"/>
      <c r="J98" s="116"/>
      <c r="K98" s="116"/>
      <c r="L98" s="116"/>
      <c r="M98" s="116"/>
      <c r="N98" s="117"/>
    </row>
    <row r="99" spans="1:14" x14ac:dyDescent="0.25">
      <c r="A99" s="34"/>
      <c r="B99" s="35"/>
      <c r="C99" s="30"/>
      <c r="D99" s="15" t="s">
        <v>1</v>
      </c>
      <c r="E99" s="118" t="s">
        <v>34</v>
      </c>
      <c r="F99" s="119"/>
      <c r="G99" s="119"/>
      <c r="H99" s="119"/>
      <c r="I99" s="119"/>
      <c r="J99" s="119"/>
      <c r="K99" s="119"/>
      <c r="L99" s="119"/>
      <c r="M99" s="119"/>
      <c r="N99" s="120"/>
    </row>
    <row r="100" spans="1:14" x14ac:dyDescent="0.25">
      <c r="A100" s="34"/>
      <c r="B100" s="35"/>
      <c r="C100" s="30"/>
      <c r="D100" s="15" t="s">
        <v>2</v>
      </c>
      <c r="E100" s="121" t="s">
        <v>35</v>
      </c>
      <c r="F100" s="122"/>
      <c r="G100" s="122"/>
      <c r="H100" s="122"/>
      <c r="I100" s="122"/>
      <c r="J100" s="122"/>
      <c r="K100" s="122"/>
      <c r="L100" s="122"/>
      <c r="M100" s="122"/>
      <c r="N100" s="123"/>
    </row>
    <row r="101" spans="1:14" ht="15.75" thickBot="1" x14ac:dyDescent="0.3">
      <c r="A101" s="34"/>
      <c r="B101" s="35"/>
      <c r="C101" s="30"/>
      <c r="D101" s="16" t="s">
        <v>3</v>
      </c>
      <c r="E101" s="106" t="s">
        <v>36</v>
      </c>
      <c r="F101" s="107"/>
      <c r="G101" s="107"/>
      <c r="H101" s="107"/>
      <c r="I101" s="107"/>
      <c r="J101" s="107"/>
      <c r="K101" s="107"/>
      <c r="L101" s="107"/>
      <c r="M101" s="107"/>
      <c r="N101" s="108"/>
    </row>
    <row r="102" spans="1:14" ht="15.75" thickBot="1" x14ac:dyDescent="0.3">
      <c r="A102" s="34"/>
      <c r="B102" s="35"/>
      <c r="C102" s="24" t="s">
        <v>23</v>
      </c>
      <c r="D102" s="14" t="s">
        <v>1</v>
      </c>
      <c r="E102" s="118" t="s">
        <v>34</v>
      </c>
      <c r="F102" s="119"/>
      <c r="G102" s="119"/>
      <c r="H102" s="119"/>
      <c r="I102" s="119"/>
      <c r="J102" s="119"/>
      <c r="K102" s="119"/>
      <c r="L102" s="119"/>
      <c r="M102" s="119"/>
      <c r="N102" s="120"/>
    </row>
    <row r="103" spans="1:14" x14ac:dyDescent="0.25">
      <c r="A103" s="36"/>
      <c r="B103" s="29"/>
      <c r="C103" s="30"/>
      <c r="D103" s="15" t="s">
        <v>5</v>
      </c>
      <c r="E103" s="121" t="s">
        <v>46</v>
      </c>
      <c r="F103" s="122"/>
      <c r="G103" s="122"/>
      <c r="H103" s="122"/>
      <c r="I103" s="122"/>
      <c r="J103" s="122"/>
      <c r="K103" s="122"/>
      <c r="L103" s="122"/>
      <c r="M103" s="122"/>
      <c r="N103" s="123"/>
    </row>
    <row r="104" spans="1:14" ht="15.75" thickBot="1" x14ac:dyDescent="0.3">
      <c r="A104" s="36"/>
      <c r="B104" s="29"/>
      <c r="C104" s="30"/>
      <c r="D104" s="16" t="s">
        <v>4</v>
      </c>
      <c r="E104" s="106" t="s">
        <v>47</v>
      </c>
      <c r="F104" s="107"/>
      <c r="G104" s="107"/>
      <c r="H104" s="107"/>
      <c r="I104" s="107"/>
      <c r="J104" s="107"/>
      <c r="K104" s="107"/>
      <c r="L104" s="107"/>
      <c r="M104" s="107"/>
      <c r="N104" s="108"/>
    </row>
    <row r="105" spans="1:14" ht="15.75" thickBot="1" x14ac:dyDescent="0.3">
      <c r="A105" s="36"/>
      <c r="B105" s="29"/>
      <c r="C105" s="24" t="s">
        <v>22</v>
      </c>
      <c r="D105" s="15" t="s">
        <v>19</v>
      </c>
      <c r="E105" s="109" t="s">
        <v>37</v>
      </c>
      <c r="F105" s="110"/>
      <c r="G105" s="110"/>
      <c r="H105" s="110"/>
      <c r="I105" s="110"/>
      <c r="J105" s="110"/>
      <c r="K105" s="110"/>
      <c r="L105" s="110"/>
      <c r="M105" s="110"/>
      <c r="N105" s="111"/>
    </row>
    <row r="106" spans="1:14" x14ac:dyDescent="0.25">
      <c r="A106" s="36"/>
      <c r="B106" s="29"/>
      <c r="C106" s="30"/>
      <c r="D106" s="15" t="s">
        <v>20</v>
      </c>
      <c r="E106" s="112" t="s">
        <v>38</v>
      </c>
      <c r="F106" s="113"/>
      <c r="G106" s="113"/>
      <c r="H106" s="113"/>
      <c r="I106" s="113"/>
      <c r="J106" s="113"/>
      <c r="K106" s="113"/>
      <c r="L106" s="113"/>
      <c r="M106" s="113"/>
      <c r="N106" s="114"/>
    </row>
    <row r="107" spans="1:14" ht="15.75" thickBot="1" x14ac:dyDescent="0.3">
      <c r="A107" s="36"/>
      <c r="B107" s="29"/>
      <c r="C107" s="30"/>
      <c r="D107" s="16" t="s">
        <v>21</v>
      </c>
      <c r="E107" s="115" t="s">
        <v>39</v>
      </c>
      <c r="F107" s="116"/>
      <c r="G107" s="116"/>
      <c r="H107" s="116"/>
      <c r="I107" s="116"/>
      <c r="J107" s="116"/>
      <c r="K107" s="116"/>
      <c r="L107" s="116"/>
      <c r="M107" s="116"/>
      <c r="N107" s="117"/>
    </row>
    <row r="108" spans="1:14" x14ac:dyDescent="0.25">
      <c r="A108" s="36"/>
      <c r="B108" s="29"/>
      <c r="C108" s="30"/>
      <c r="D108" s="15" t="s">
        <v>9</v>
      </c>
      <c r="E108" s="118" t="s">
        <v>48</v>
      </c>
      <c r="F108" s="119"/>
      <c r="G108" s="119"/>
      <c r="H108" s="119"/>
      <c r="I108" s="119"/>
      <c r="J108" s="119"/>
      <c r="K108" s="119"/>
      <c r="L108" s="119"/>
      <c r="M108" s="119"/>
      <c r="N108" s="120"/>
    </row>
    <row r="109" spans="1:14" x14ac:dyDescent="0.25">
      <c r="A109" s="36"/>
      <c r="B109" s="29"/>
      <c r="C109" s="30"/>
      <c r="D109" s="15" t="s">
        <v>10</v>
      </c>
      <c r="E109" s="121" t="s">
        <v>49</v>
      </c>
      <c r="F109" s="122"/>
      <c r="G109" s="122"/>
      <c r="H109" s="122"/>
      <c r="I109" s="122"/>
      <c r="J109" s="122"/>
      <c r="K109" s="122"/>
      <c r="L109" s="122"/>
      <c r="M109" s="122"/>
      <c r="N109" s="123"/>
    </row>
    <row r="110" spans="1:14" ht="15.75" thickBot="1" x14ac:dyDescent="0.3">
      <c r="A110" s="37"/>
      <c r="B110" s="32"/>
      <c r="C110" s="33"/>
      <c r="D110" s="16" t="s">
        <v>11</v>
      </c>
      <c r="E110" s="106" t="s">
        <v>50</v>
      </c>
      <c r="F110" s="107"/>
      <c r="G110" s="107"/>
      <c r="H110" s="107"/>
      <c r="I110" s="107"/>
      <c r="J110" s="107"/>
      <c r="K110" s="107"/>
      <c r="L110" s="107"/>
      <c r="M110" s="107"/>
      <c r="N110" s="108"/>
    </row>
    <row r="111" spans="1:14" ht="15.75" thickBot="1" x14ac:dyDescent="0.3">
      <c r="A111" s="51"/>
      <c r="B111" s="52"/>
      <c r="C111" s="16" t="s">
        <v>26</v>
      </c>
      <c r="D111" s="24"/>
      <c r="E111" s="47" t="s">
        <v>12</v>
      </c>
      <c r="F111" s="53"/>
      <c r="G111" s="53"/>
      <c r="H111" s="53"/>
      <c r="I111" s="53"/>
      <c r="J111" s="53"/>
      <c r="K111" s="53"/>
      <c r="L111" s="53"/>
      <c r="M111" s="53"/>
      <c r="N111" s="53"/>
    </row>
    <row r="112" spans="1:14" x14ac:dyDescent="0.25">
      <c r="A112" s="39"/>
      <c r="B112" s="39"/>
    </row>
  </sheetData>
  <sheetProtection sheet="1" objects="1" scenarios="1" selectLockedCells="1" selectUnlockedCells="1"/>
  <mergeCells count="18">
    <mergeCell ref="E103:N103"/>
    <mergeCell ref="E93:N93"/>
    <mergeCell ref="E94:N94"/>
    <mergeCell ref="E95:N95"/>
    <mergeCell ref="E96:N96"/>
    <mergeCell ref="E97:N97"/>
    <mergeCell ref="E98:N98"/>
    <mergeCell ref="E99:N99"/>
    <mergeCell ref="E100:N100"/>
    <mergeCell ref="E101:N101"/>
    <mergeCell ref="E102:N102"/>
    <mergeCell ref="E110:N110"/>
    <mergeCell ref="E104:N104"/>
    <mergeCell ref="E105:N105"/>
    <mergeCell ref="E106:N106"/>
    <mergeCell ref="E107:N107"/>
    <mergeCell ref="E108:N108"/>
    <mergeCell ref="E109:N109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Template 5nm</vt:lpstr>
      <vt:lpstr>CIE Lab</vt:lpstr>
      <vt:lpstr>CIE LCH</vt:lpstr>
      <vt:lpstr>RGB</vt:lpstr>
      <vt:lpstr>Formulas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Manu-Poi</dc:creator>
  <cp:lastModifiedBy>Poi</cp:lastModifiedBy>
  <cp:lastPrinted>2017-02-14T15:39:49Z</cp:lastPrinted>
  <dcterms:created xsi:type="dcterms:W3CDTF">2017-01-31T22:01:08Z</dcterms:created>
  <dcterms:modified xsi:type="dcterms:W3CDTF">2017-09-03T10:49:49Z</dcterms:modified>
</cp:coreProperties>
</file>